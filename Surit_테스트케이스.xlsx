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 전체" sheetId="1" state="visible" r:id="rId3"/>
    <sheet name="요약" sheetId="2" state="visible" r:id="rId4"/>
  </sheets>
  <definedNames>
    <definedName function="false" hidden="true" localSheetId="0" name="_xlnm._FilterDatabase" vbProcedure="false">'TC 전체'!$A$1:$H$48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<sst xmlns="http://schemas.openxmlformats.org/spreadsheetml/2006/main" count="384" uniqueCount="333">
  <si>
    <t xml:space="preserve">TC ID</t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</si>
  <si>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화면</t>
    </r>
  </si>
  <si>
    <r>
      <rPr>
        <b val="true"/>
        <sz val="10"/>
        <color rgb="FFFFFFFF"/>
        <rFont val="Noto Sans CJK SC"/>
        <family val="2"/>
      </rPr>
      <t xml:space="preserve">테스트 시나리오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수행 내용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</si>
  <si>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입력 데이터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사전 조건</t>
    </r>
  </si>
  <si>
    <t xml:space="preserve">예상 결과</t>
  </si>
  <si>
    <t xml:space="preserve">결과</t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</si>
  <si>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이슈</t>
    </r>
  </si>
  <si>
    <r>
      <rPr>
        <b val="true"/>
        <sz val="10"/>
        <color rgb="FFFFFFFF"/>
        <rFont val="Noto Sans CJK SC"/>
        <family val="2"/>
      </rPr>
      <t xml:space="preserve">통합한 기존 </t>
    </r>
    <r>
      <rPr>
        <b val="true"/>
        <sz val="10"/>
        <color rgb="FFFFFFFF"/>
        <rFont val="Arial"/>
        <family val="0"/>
        <charset val="1"/>
      </rPr>
      <t xml:space="preserve">TC</t>
    </r>
  </si>
  <si>
    <t xml:space="preserve">A-01</t>
  </si>
  <si>
    <t xml:space="preserve">관리자 로그인</t>
  </si>
  <si>
    <t xml:space="preserve">로그인 성공 후 이동 화면 확인</t>
  </si>
  <si>
    <r>
      <rPr>
        <sz val="10"/>
        <rFont val="Arial"/>
        <family val="0"/>
        <charset val="1"/>
      </rPr>
      <t xml:space="preserve">ADMIN </t>
    </r>
    <r>
      <rPr>
        <sz val="10"/>
        <rFont val="Noto Sans CJK SC"/>
        <family val="2"/>
      </rPr>
      <t xml:space="preserve">테이블 계정</t>
    </r>
  </si>
  <si>
    <t xml:space="preserve">관리자 첫 화면으로 이동</t>
  </si>
  <si>
    <t xml:space="preserve">Block</t>
  </si>
  <si>
    <r>
      <rPr>
        <sz val="10"/>
        <rFont val="Arial"/>
        <family val="0"/>
        <charset val="1"/>
      </rPr>
      <t xml:space="preserve">ISSUE-06 : </t>
    </r>
    <r>
      <rPr>
        <sz val="10"/>
        <rFont val="Noto Sans CJK SC"/>
        <family val="2"/>
      </rPr>
      <t xml:space="preserve">현재 </t>
    </r>
    <r>
      <rPr>
        <sz val="10"/>
        <rFont val="Arial"/>
        <family val="0"/>
        <charset val="1"/>
      </rPr>
      <t xml:space="preserve">/admin/members </t>
    </r>
    <r>
      <rPr>
        <sz val="10"/>
        <rFont val="Noto Sans CJK SC"/>
        <family val="2"/>
      </rPr>
      <t xml:space="preserve">로 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접수현황</t>
    </r>
    <r>
      <rPr>
        <sz val="10"/>
        <rFont val="Arial"/>
        <family val="0"/>
        <charset val="1"/>
      </rPr>
      <t xml:space="preserve">(/admin)</t>
    </r>
    <r>
      <rPr>
        <sz val="10"/>
        <rFont val="Noto Sans CJK SC"/>
        <family val="2"/>
      </rPr>
      <t xml:space="preserve">으로 바꿀지 결정 필요</t>
    </r>
  </si>
  <si>
    <t xml:space="preserve">A01</t>
  </si>
  <si>
    <t xml:space="preserve">A-02</t>
  </si>
  <si>
    <r>
      <rPr>
        <sz val="10"/>
        <rFont val="Noto Sans CJK SC"/>
        <family val="2"/>
      </rPr>
      <t xml:space="preserve">실패 케이스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종을 순서대로 시도</t>
    </r>
  </si>
  <si>
    <r>
      <rPr>
        <sz val="10"/>
        <rFont val="Noto Sans CJK SC"/>
        <family val="2"/>
      </rPr>
      <t xml:space="preserve">① 미등록 아이디 ② 틀린 비밀번호 ③ 두 칸 공백 ④ </t>
    </r>
    <r>
      <rPr>
        <sz val="10"/>
        <rFont val="Arial"/>
        <family val="0"/>
        <charset val="1"/>
      </rPr>
      <t xml:space="preserve">USERS </t>
    </r>
    <r>
      <rPr>
        <sz val="10"/>
        <rFont val="Noto Sans CJK SC"/>
        <family val="2"/>
      </rPr>
      <t xml:space="preserve">의 일반회원 아이디</t>
    </r>
  </si>
  <si>
    <r>
      <rPr>
        <sz val="10"/>
        <rFont val="Noto Sans CJK SC"/>
        <family val="2"/>
      </rPr>
      <t xml:space="preserve">①②④ 로그인 실패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에러 메시지</t>
    </r>
    <r>
      <rPr>
        <sz val="10"/>
        <rFont val="Arial"/>
        <family val="0"/>
        <charset val="1"/>
      </rPr>
      <t xml:space="preserve">, ③ required </t>
    </r>
    <r>
      <rPr>
        <sz val="10"/>
        <rFont val="Noto Sans CJK SC"/>
        <family val="2"/>
      </rPr>
      <t xml:space="preserve">로 전송 차단</t>
    </r>
  </si>
  <si>
    <t xml:space="preserve">Pass</t>
  </si>
  <si>
    <r>
      <rPr>
        <sz val="10"/>
        <rFont val="Noto Sans CJK SC"/>
        <family val="2"/>
      </rPr>
      <t xml:space="preserve">관리자는 </t>
    </r>
    <r>
      <rPr>
        <sz val="10"/>
        <rFont val="Arial"/>
        <family val="0"/>
        <charset val="1"/>
      </rPr>
      <t xml:space="preserve">ADMIN </t>
    </r>
    <r>
      <rPr>
        <sz val="10"/>
        <rFont val="Noto Sans CJK SC"/>
        <family val="2"/>
      </rPr>
      <t xml:space="preserve">테이블 별도라 일반회원 계정으로는 못 들어옴</t>
    </r>
  </si>
  <si>
    <t xml:space="preserve">A02·A03·A04·A12</t>
  </si>
  <si>
    <t xml:space="preserve">A-03</t>
  </si>
  <si>
    <t xml:space="preserve">권한 가드</t>
  </si>
  <si>
    <r>
      <rPr>
        <sz val="10"/>
        <rFont val="Noto Sans CJK SC"/>
        <family val="2"/>
      </rPr>
      <t xml:space="preserve">비로그인으로 </t>
    </r>
    <r>
      <rPr>
        <sz val="10"/>
        <rFont val="Arial"/>
        <family val="0"/>
        <charset val="1"/>
      </rPr>
      <t xml:space="preserve">/admin, /admin/reviews </t>
    </r>
    <r>
      <rPr>
        <sz val="10"/>
        <rFont val="Noto Sans CJK SC"/>
        <family val="2"/>
      </rPr>
      <t xml:space="preserve">접근 후 로그인</t>
    </r>
  </si>
  <si>
    <t xml:space="preserve">세션 없음</t>
  </si>
  <si>
    <r>
      <rPr>
        <sz val="10"/>
        <rFont val="Noto Sans CJK SC"/>
        <family val="2"/>
      </rPr>
      <t xml:space="preserve">로그인 화면으로 보내고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로그인 후 원래 가려던 화면으로 복귀</t>
    </r>
  </si>
  <si>
    <t xml:space="preserve">AdminInterceptor + returnUri</t>
  </si>
  <si>
    <t xml:space="preserve">A05·A06</t>
  </si>
  <si>
    <t xml:space="preserve">A-04</t>
  </si>
  <si>
    <r>
      <rPr>
        <sz val="10"/>
        <rFont val="Noto Sans CJK SC"/>
        <family val="2"/>
      </rPr>
      <t xml:space="preserve">보안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오픈 리다이렉트</t>
    </r>
  </si>
  <si>
    <r>
      <rPr>
        <sz val="10"/>
        <rFont val="Arial"/>
        <family val="0"/>
        <charset val="1"/>
      </rPr>
      <t xml:space="preserve">returnUri </t>
    </r>
    <r>
      <rPr>
        <sz val="10"/>
        <rFont val="Noto Sans CJK SC"/>
        <family val="2"/>
      </rPr>
      <t xml:space="preserve">에 외부 주소 주입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</t>
    </r>
  </si>
  <si>
    <t xml:space="preserve">?returnUri=https://naver.com / ?returnUri=//evil.com</t>
  </si>
  <si>
    <t xml:space="preserve">둘 다 외부로 안 가고 내부 기본 경로로 이동</t>
  </si>
  <si>
    <r>
      <rPr>
        <sz val="10"/>
        <rFont val="Arial"/>
        <family val="0"/>
        <charset val="1"/>
      </rPr>
      <t xml:space="preserve">safeReturnUri()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/admin </t>
    </r>
    <r>
      <rPr>
        <sz val="10"/>
        <rFont val="Noto Sans CJK SC"/>
        <family val="2"/>
      </rPr>
      <t xml:space="preserve">시작 검사 </t>
    </r>
    <r>
      <rPr>
        <sz val="10"/>
        <rFont val="Arial"/>
        <family val="0"/>
        <charset val="1"/>
      </rPr>
      <t xml:space="preserve">+ // </t>
    </r>
    <r>
      <rPr>
        <sz val="10"/>
        <rFont val="Noto Sans CJK SC"/>
        <family val="2"/>
      </rPr>
      <t xml:space="preserve">차단 확인</t>
    </r>
  </si>
  <si>
    <t xml:space="preserve">A07·A08</t>
  </si>
  <si>
    <t xml:space="preserve">A-05</t>
  </si>
  <si>
    <t xml:space="preserve">세션</t>
  </si>
  <si>
    <r>
      <rPr>
        <sz val="10"/>
        <rFont val="Noto Sans CJK SC"/>
        <family val="2"/>
      </rPr>
      <t xml:space="preserve">로그아웃 후 뒤로가기 </t>
    </r>
    <r>
      <rPr>
        <sz val="10"/>
        <rFont val="Arial"/>
        <family val="0"/>
        <charset val="1"/>
      </rPr>
      <t xml:space="preserve">/ 30</t>
    </r>
    <r>
      <rPr>
        <sz val="10"/>
        <rFont val="Noto Sans CJK SC"/>
        <family val="2"/>
      </rPr>
      <t xml:space="preserve">분 방치 후 메뉴 클릭</t>
    </r>
  </si>
  <si>
    <t xml:space="preserve">로그인 상태</t>
  </si>
  <si>
    <r>
      <rPr>
        <sz val="10"/>
        <rFont val="Noto Sans CJK SC"/>
        <family val="2"/>
      </rPr>
      <t xml:space="preserve">두 경우 모두 로그인 화면으로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관리자 화면 접근 불가</t>
    </r>
  </si>
  <si>
    <t xml:space="preserve">setMaxInactiveInterval(30*60)</t>
  </si>
  <si>
    <t xml:space="preserve">A09·A10</t>
  </si>
  <si>
    <t xml:space="preserve">A-06</t>
  </si>
  <si>
    <t xml:space="preserve">로그인 제한</t>
  </si>
  <si>
    <r>
      <rPr>
        <sz val="10"/>
        <rFont val="Noto Sans CJK SC"/>
        <family val="2"/>
      </rPr>
      <t xml:space="preserve">비밀번호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연속 오류</t>
    </r>
  </si>
  <si>
    <r>
      <rPr>
        <sz val="10"/>
        <rFont val="Noto Sans CJK SC"/>
        <family val="2"/>
      </rPr>
      <t xml:space="preserve">등록 계정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틀린 비밀번호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</t>
    </r>
  </si>
  <si>
    <t xml:space="preserve">계정 일시 잠금</t>
  </si>
  <si>
    <t xml:space="preserve">Fail</t>
  </si>
  <si>
    <r>
      <rPr>
        <sz val="10"/>
        <rFont val="Arial"/>
        <family val="0"/>
        <charset val="1"/>
      </rPr>
      <t xml:space="preserve">ISSUE-05 : ADMIN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FAIL_COUNT </t>
    </r>
    <r>
      <rPr>
        <sz val="10"/>
        <rFont val="Noto Sans CJK SC"/>
        <family val="2"/>
      </rPr>
      <t xml:space="preserve">컬럼 없음</t>
    </r>
  </si>
  <si>
    <t xml:space="preserve">A11</t>
  </si>
  <si>
    <t xml:space="preserve">B-01</t>
  </si>
  <si>
    <t xml:space="preserve">접수 현황</t>
  </si>
  <si>
    <r>
      <rPr>
        <sz val="10"/>
        <rFont val="Noto Sans CJK SC"/>
        <family val="2"/>
      </rPr>
      <t xml:space="preserve">메뉴 진입 후 상태 카드 건수를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집계와 대조</t>
    </r>
  </si>
  <si>
    <r>
      <rPr>
        <sz val="10"/>
        <rFont val="Arial"/>
        <family val="0"/>
        <charset val="1"/>
      </rPr>
      <t xml:space="preserve">GROUP BY STATUS_CODE </t>
    </r>
    <r>
      <rPr>
        <sz val="10"/>
        <rFont val="Noto Sans CJK SC"/>
        <family val="2"/>
      </rPr>
      <t xml:space="preserve">결과</t>
    </r>
  </si>
  <si>
    <r>
      <rPr>
        <sz val="10"/>
        <rFont val="Noto Sans CJK SC"/>
        <family val="2"/>
      </rPr>
      <t xml:space="preserve">카드 숫자가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와 일치</t>
    </r>
    <r>
      <rPr>
        <sz val="10"/>
        <rFont val="Arial"/>
        <family val="0"/>
        <charset val="1"/>
      </rPr>
      <t xml:space="preserve">. 0</t>
    </r>
    <r>
      <rPr>
        <sz val="10"/>
        <rFont val="Noto Sans CJK SC"/>
        <family val="2"/>
      </rPr>
      <t xml:space="preserve">건인 상태도 카드가 사라지지 않고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표시</t>
    </r>
  </si>
  <si>
    <r>
      <rPr>
        <sz val="10"/>
        <rFont val="Arial"/>
        <family val="0"/>
        <charset val="1"/>
      </rPr>
      <t xml:space="preserve">COMMON_CODE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LEFT JOIN</t>
    </r>
  </si>
  <si>
    <t xml:space="preserve">B01·B02·B03</t>
  </si>
  <si>
    <t xml:space="preserve">B-02</t>
  </si>
  <si>
    <r>
      <rPr>
        <sz val="10"/>
        <rFont val="Noto Sans CJK SC"/>
        <family val="2"/>
      </rPr>
      <t xml:space="preserve">접수 현황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검색</t>
    </r>
  </si>
  <si>
    <r>
      <rPr>
        <sz val="10"/>
        <rFont val="Noto Sans CJK SC"/>
        <family val="2"/>
      </rPr>
      <t xml:space="preserve">카드 클릭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상태 드롭다운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제목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고객명으로 각각 조회</t>
    </r>
  </si>
  <si>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견적중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키워드</t>
    </r>
    <r>
      <rPr>
        <sz val="10"/>
        <rFont val="Arial"/>
        <family val="0"/>
        <charset val="1"/>
      </rPr>
      <t xml:space="preserve">="</t>
    </r>
    <r>
      <rPr>
        <sz val="10"/>
        <rFont val="Noto Sans CJK SC"/>
        <family val="2"/>
      </rPr>
      <t xml:space="preserve">노트북</t>
    </r>
    <r>
      <rPr>
        <sz val="10"/>
        <rFont val="Arial"/>
        <family val="0"/>
        <charset val="1"/>
      </rPr>
      <t xml:space="preserve">", </t>
    </r>
    <r>
      <rPr>
        <sz val="10"/>
        <rFont val="Noto Sans CJK SC"/>
        <family val="2"/>
      </rPr>
      <t xml:space="preserve">고객 실명 일부</t>
    </r>
  </si>
  <si>
    <r>
      <rPr>
        <sz val="10"/>
        <rFont val="Noto Sans CJK SC"/>
        <family val="2"/>
      </rPr>
      <t xml:space="preserve">조건에 맞는 접수만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카드 클릭 시 선택 표시</t>
    </r>
  </si>
  <si>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고객명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조건</t>
    </r>
  </si>
  <si>
    <t xml:space="preserve">B04·B05·B06·B07</t>
  </si>
  <si>
    <t xml:space="preserve">B-03</t>
  </si>
  <si>
    <r>
      <rPr>
        <sz val="10"/>
        <rFont val="Noto Sans CJK SC"/>
        <family val="2"/>
      </rPr>
      <t xml:space="preserve">접수 현황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기간</t>
    </r>
  </si>
  <si>
    <t xml:space="preserve">정상 기간과 거꾸로 입력한 기간으로 각각 조회</t>
  </si>
  <si>
    <t xml:space="preserve">① 08-20~08-25 ② 08-25~08-20</t>
  </si>
  <si>
    <r>
      <rPr>
        <sz val="10"/>
        <rFont val="Noto Sans CJK SC"/>
        <family val="2"/>
      </rPr>
      <t xml:space="preserve">① 종료일 당일 포함 ②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건이 아니라 순서를 바꿔 정상 조회</t>
    </r>
  </si>
  <si>
    <r>
      <rPr>
        <sz val="10"/>
        <rFont val="Arial"/>
        <family val="0"/>
        <charset val="1"/>
      </rPr>
      <t xml:space="preserve">ServiceImpl </t>
    </r>
    <r>
      <rPr>
        <sz val="10"/>
        <rFont val="Noto Sans CJK SC"/>
        <family val="2"/>
      </rPr>
      <t xml:space="preserve">방어 로직</t>
    </r>
  </si>
  <si>
    <t xml:space="preserve">B08·B09</t>
  </si>
  <si>
    <t xml:space="preserve">B-04</t>
  </si>
  <si>
    <t xml:space="preserve">결과 없는 조건 조회 후 초기화</t>
  </si>
  <si>
    <r>
      <rPr>
        <sz val="10"/>
        <rFont val="Noto Sans CJK SC"/>
        <family val="2"/>
      </rPr>
      <t xml:space="preserve">키워드</t>
    </r>
    <r>
      <rPr>
        <sz val="10"/>
        <rFont val="Arial"/>
        <family val="0"/>
        <charset val="1"/>
      </rPr>
      <t xml:space="preserve">="zzzz" → </t>
    </r>
    <r>
      <rPr>
        <sz val="10"/>
        <rFont val="Noto Sans CJK SC"/>
        <family val="2"/>
      </rPr>
      <t xml:space="preserve">초기화 클릭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</si>
  <si>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조회 결과가 없습니다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표시 후 전체 목록 복귀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 안 깨짐</t>
    </r>
  </si>
  <si>
    <t xml:space="preserve">B10·B11</t>
  </si>
  <si>
    <t xml:space="preserve">B-05</t>
  </si>
  <si>
    <r>
      <rPr>
        <sz val="10"/>
        <rFont val="Noto Sans CJK SC"/>
        <family val="2"/>
      </rPr>
      <t xml:space="preserve">접수 현황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페이징</t>
    </r>
  </si>
  <si>
    <r>
      <rPr>
        <sz val="10"/>
        <rFont val="Noto Sans CJK SC"/>
        <family val="2"/>
      </rPr>
      <t xml:space="preserve">검색 조건을 건 채로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페이지 이동</t>
    </r>
  </si>
  <si>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견적중 </t>
    </r>
    <r>
      <rPr>
        <sz val="10"/>
        <rFont val="Arial"/>
        <family val="0"/>
        <charset val="1"/>
      </rPr>
      <t xml:space="preserve">+ 11</t>
    </r>
    <r>
      <rPr>
        <sz val="10"/>
        <rFont val="Noto Sans CJK SC"/>
        <family val="2"/>
      </rPr>
      <t xml:space="preserve">건 이상</t>
    </r>
  </si>
  <si>
    <t xml:space="preserve">조건이 유지된 채 다음 페이지 표시</t>
  </si>
  <si>
    <r>
      <rPr>
        <sz val="10"/>
        <rFont val="Noto Sans CJK SC"/>
        <family val="2"/>
      </rPr>
      <t xml:space="preserve">시연용 데이터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건 필요</t>
    </r>
  </si>
  <si>
    <t xml:space="preserve">B12</t>
  </si>
  <si>
    <t xml:space="preserve">B-06</t>
  </si>
  <si>
    <r>
      <rPr>
        <sz val="10"/>
        <rFont val="Noto Sans CJK SC"/>
        <family val="2"/>
      </rPr>
      <t xml:space="preserve">접수 현황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목록</t>
    </r>
  </si>
  <si>
    <r>
      <rPr>
        <sz val="10"/>
        <rFont val="Noto Sans CJK SC"/>
        <family val="2"/>
      </rPr>
      <t xml:space="preserve">담당 기사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견적 금액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상태 배지 표기 확인</t>
    </r>
  </si>
  <si>
    <r>
      <rPr>
        <sz val="10"/>
        <rFont val="Noto Sans CJK SC"/>
        <family val="2"/>
      </rPr>
      <t xml:space="preserve">채택</t>
    </r>
    <r>
      <rPr>
        <sz val="10"/>
        <rFont val="Arial"/>
        <family val="0"/>
        <charset val="1"/>
      </rPr>
      <t xml:space="preserve">O / </t>
    </r>
    <r>
      <rPr>
        <sz val="10"/>
        <rFont val="Noto Sans CJK SC"/>
        <family val="2"/>
      </rPr>
      <t xml:space="preserve">견적만 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견적 없음 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</si>
  <si>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기사명 또는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미배정</t>
    </r>
    <r>
      <rPr>
        <sz val="10"/>
        <rFont val="Arial"/>
        <family val="0"/>
        <charset val="1"/>
      </rPr>
      <t xml:space="preserve">", </t>
    </r>
    <r>
      <rPr>
        <sz val="10"/>
        <rFont val="Noto Sans CJK SC"/>
        <family val="2"/>
      </rPr>
      <t xml:space="preserve">금액 또는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견적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"-", </t>
    </r>
    <r>
      <rPr>
        <sz val="10"/>
        <rFont val="Noto Sans CJK SC"/>
        <family val="2"/>
      </rPr>
      <t xml:space="preserve">상태별 색 배지</t>
    </r>
  </si>
  <si>
    <r>
      <rPr>
        <sz val="10"/>
        <rFont val="Arial"/>
        <family val="0"/>
        <charset val="1"/>
      </rPr>
      <t xml:space="preserve">ESTIMATES.STATUS='SELECTED' </t>
    </r>
    <r>
      <rPr>
        <sz val="10"/>
        <rFont val="Noto Sans CJK SC"/>
        <family val="2"/>
      </rPr>
      <t xml:space="preserve">기준</t>
    </r>
  </si>
  <si>
    <t xml:space="preserve">B13·B14·B15</t>
  </si>
  <si>
    <t xml:space="preserve">B-07</t>
  </si>
  <si>
    <r>
      <rPr>
        <sz val="10"/>
        <rFont val="Noto Sans CJK SC"/>
        <family val="2"/>
      </rPr>
      <t xml:space="preserve">접수 상세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상태 변경</t>
    </r>
  </si>
  <si>
    <r>
      <rPr>
        <sz val="10"/>
        <rFont val="Noto Sans CJK SC"/>
        <family val="2"/>
      </rPr>
      <t xml:space="preserve">목록에서 제목 클릭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관리자가 상태 강제 변경</t>
    </r>
  </si>
  <si>
    <r>
      <rPr>
        <sz val="10"/>
        <rFont val="Noto Sans CJK SC"/>
        <family val="2"/>
      </rPr>
      <t xml:space="preserve">접수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</si>
  <si>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상세 화면 이동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변경 후 감사 로그 기록</t>
    </r>
  </si>
  <si>
    <r>
      <rPr>
        <sz val="10"/>
        <rFont val="Noto Sans CJK SC"/>
        <family val="2"/>
      </rPr>
      <t xml:space="preserve">미구현</t>
    </r>
    <r>
      <rPr>
        <sz val="10"/>
        <rFont val="Arial"/>
        <family val="0"/>
        <charset val="1"/>
      </rPr>
      <t xml:space="preserve">. AdminRequestController </t>
    </r>
    <r>
      <rPr>
        <sz val="10"/>
        <rFont val="Noto Sans CJK SC"/>
        <family val="2"/>
      </rPr>
      <t xml:space="preserve">에 목록 매핑만 존재 </t>
    </r>
    <r>
      <rPr>
        <sz val="10"/>
        <rFont val="Arial"/>
        <family val="0"/>
        <charset val="1"/>
      </rPr>
      <t xml:space="preserve">+ ISSUE-04</t>
    </r>
  </si>
  <si>
    <t xml:space="preserve">B18·B19</t>
  </si>
  <si>
    <t xml:space="preserve">C-01</t>
  </si>
  <si>
    <t xml:space="preserve">회원 관리</t>
  </si>
  <si>
    <r>
      <rPr>
        <sz val="10"/>
        <rFont val="Noto Sans CJK SC"/>
        <family val="2"/>
      </rPr>
      <t xml:space="preserve">메뉴 진입 후 유형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상태 필터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이름 검색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페이지 이동</t>
    </r>
  </si>
  <si>
    <r>
      <rPr>
        <sz val="10"/>
        <rFont val="Noto Sans CJK SC"/>
        <family val="2"/>
      </rPr>
      <t xml:space="preserve">유형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기사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정지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이름 일부 </t>
    </r>
    <r>
      <rPr>
        <sz val="10"/>
        <rFont val="Arial"/>
        <family val="0"/>
        <charset val="1"/>
      </rPr>
      <t xml:space="preserve">/ 11</t>
    </r>
    <r>
      <rPr>
        <sz val="10"/>
        <rFont val="Noto Sans CJK SC"/>
        <family val="2"/>
      </rPr>
      <t xml:space="preserve">명 이상</t>
    </r>
  </si>
  <si>
    <t xml:space="preserve">각 조건에 맞는 회원만 표시되고 페이징에서도 조건 유지</t>
  </si>
  <si>
    <t xml:space="preserve">C01·C02·C03·C04·C05</t>
  </si>
  <si>
    <t xml:space="preserve">C-02</t>
  </si>
  <si>
    <t xml:space="preserve">기사 상세</t>
  </si>
  <si>
    <r>
      <rPr>
        <sz val="10"/>
        <rFont val="Noto Sans CJK SC"/>
        <family val="2"/>
      </rPr>
      <t xml:space="preserve">승인 대기 기사의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서류 보기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</si>
  <si>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승인 대기 기사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</si>
  <si>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기본정보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자격증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 표시</t>
    </r>
  </si>
  <si>
    <t xml:space="preserve">C06</t>
  </si>
  <si>
    <t xml:space="preserve">C-03</t>
  </si>
  <si>
    <t xml:space="preserve">기사 승인</t>
  </si>
  <si>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기사 승인 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기사를 다시 승인 시도</t>
    </r>
  </si>
  <si>
    <r>
      <rPr>
        <sz val="10"/>
        <rFont val="Arial"/>
        <family val="0"/>
        <charset val="1"/>
      </rPr>
      <t xml:space="preserve">APPROVAL_STATUS=APPROVED </t>
    </r>
    <r>
      <rPr>
        <sz val="10"/>
        <rFont val="Noto Sans CJK SC"/>
        <family val="2"/>
      </rPr>
      <t xml:space="preserve">로 변경되고 대기 목록에서 사라짐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재승인은 차단되거나 심사 영역 자체가 안 보임</t>
    </r>
  </si>
  <si>
    <t xml:space="preserve">C07·C10</t>
  </si>
  <si>
    <t xml:space="preserve">C-04</t>
  </si>
  <si>
    <t xml:space="preserve">기사 반려</t>
  </si>
  <si>
    <r>
      <rPr>
        <sz val="10"/>
        <rFont val="Noto Sans CJK SC"/>
        <family val="2"/>
      </rPr>
      <t xml:space="preserve">반려 사유를 입력하고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반려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</si>
  <si>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사유 </t>
    </r>
    <r>
      <rPr>
        <sz val="10"/>
        <rFont val="Arial"/>
        <family val="0"/>
        <charset val="1"/>
      </rPr>
      <t xml:space="preserve">= "</t>
    </r>
    <r>
      <rPr>
        <sz val="10"/>
        <rFont val="Noto Sans CJK SC"/>
        <family val="2"/>
      </rPr>
      <t xml:space="preserve">자격증 사진 판독 불가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</si>
  <si>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로 변경되고 사유가 기사 화면에 표시</t>
    </r>
  </si>
  <si>
    <t xml:space="preserve">C08</t>
  </si>
  <si>
    <t xml:space="preserve">C-05</t>
  </si>
  <si>
    <r>
      <rPr>
        <sz val="10"/>
        <rFont val="Noto Sans CJK SC"/>
        <family val="2"/>
      </rPr>
      <t xml:space="preserve">기사 반려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사유 누락</t>
    </r>
  </si>
  <si>
    <r>
      <rPr>
        <sz val="10"/>
        <rFont val="Noto Sans CJK SC"/>
        <family val="2"/>
      </rPr>
      <t xml:space="preserve">사유를 비우고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반려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</si>
  <si>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t xml:space="preserve">사유 칸 공백</t>
  </si>
  <si>
    <t xml:space="preserve">반려되지 않고 입력 안내</t>
  </si>
  <si>
    <r>
      <rPr>
        <sz val="10"/>
        <rFont val="Arial"/>
        <family val="0"/>
        <charset val="1"/>
      </rPr>
      <t xml:space="preserve">textarea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required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컨트롤러가 </t>
    </r>
    <r>
      <rPr>
        <sz val="10"/>
        <rFont val="Arial"/>
        <family val="0"/>
        <charset val="1"/>
      </rPr>
      <t xml:space="preserve">IllegalArgumentException </t>
    </r>
    <r>
      <rPr>
        <sz val="10"/>
        <rFont val="Noto Sans CJK SC"/>
        <family val="2"/>
      </rPr>
      <t xml:space="preserve">을 안 잡아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발생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곳 다 수정 필요</t>
    </r>
  </si>
  <si>
    <t xml:space="preserve">C09</t>
  </si>
  <si>
    <t xml:space="preserve">C-06</t>
  </si>
  <si>
    <t xml:space="preserve">심사 불가 상황</t>
  </si>
  <si>
    <r>
      <rPr>
        <sz val="10"/>
        <rFont val="Noto Sans CJK SC"/>
        <family val="2"/>
      </rPr>
      <t xml:space="preserve">① 서류 미제출 기사 상세 열기 ② 자격증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 기사 승인 시도</t>
    </r>
  </si>
  <si>
    <r>
      <rPr>
        <sz val="10"/>
        <rFont val="Arial"/>
        <family val="0"/>
        <charset val="1"/>
      </rPr>
      <t xml:space="preserve">① FIXER_PROFILE </t>
    </r>
    <r>
      <rPr>
        <sz val="10"/>
        <rFont val="Noto Sans CJK SC"/>
        <family val="2"/>
      </rPr>
      <t xml:space="preserve">없음 ② </t>
    </r>
    <r>
      <rPr>
        <sz val="10"/>
        <rFont val="Arial"/>
        <family val="0"/>
        <charset val="1"/>
      </rPr>
      <t xml:space="preserve">PENDING + FIXER_LICENSE 0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</si>
  <si>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①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반려 버튼이 안 나오고 안내 문구 ②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대신 빨간 토스트로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제출된 자격증이 없습니다</t>
    </r>
    <r>
      <rPr>
        <sz val="10"/>
        <rFont val="Arial"/>
        <family val="0"/>
        <charset val="1"/>
      </rPr>
      <t xml:space="preserve">"</t>
    </r>
  </si>
  <si>
    <t xml:space="preserve">신규</t>
  </si>
  <si>
    <t xml:space="preserve">C14·C15</t>
  </si>
  <si>
    <t xml:space="preserve">C-07</t>
  </si>
  <si>
    <t xml:space="preserve">승인 대기 목록</t>
  </si>
  <si>
    <r>
      <rPr>
        <sz val="10"/>
        <rFont val="Noto Sans CJK SC"/>
        <family val="2"/>
      </rPr>
      <t xml:space="preserve">일반 회원인데 </t>
    </r>
    <r>
      <rPr>
        <sz val="10"/>
        <rFont val="Arial"/>
        <family val="0"/>
        <charset val="1"/>
      </rPr>
      <t xml:space="preserve">FIXER_PROFILE 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인 계정 확인</t>
    </r>
  </si>
  <si>
    <t xml:space="preserve">USER_ROLE=USER + APPROVAL_STATUS=PENDING</t>
  </si>
  <si>
    <t xml:space="preserve">승인 대기 목록에 안 나타남</t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</si>
  <si>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. selectPendingFixers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USER_ROLE='FIXER' </t>
    </r>
    <r>
      <rPr>
        <sz val="10"/>
        <rFont val="Noto Sans CJK SC"/>
        <family val="2"/>
      </rPr>
      <t xml:space="preserve">조건 추가</t>
    </r>
  </si>
  <si>
    <t xml:space="preserve">C16</t>
  </si>
  <si>
    <t xml:space="preserve">C-08</t>
  </si>
  <si>
    <t xml:space="preserve">연계 확인</t>
  </si>
  <si>
    <t xml:space="preserve">승인된 기사 계정으로 접수 찾기 접근</t>
  </si>
  <si>
    <t xml:space="preserve">승인 완료 기사</t>
  </si>
  <si>
    <r>
      <rPr>
        <sz val="10"/>
        <rFont val="Arial"/>
        <family val="0"/>
        <charset val="1"/>
      </rPr>
      <t xml:space="preserve">/fixer/requests </t>
    </r>
    <r>
      <rPr>
        <sz val="10"/>
        <rFont val="Noto Sans CJK SC"/>
        <family val="2"/>
      </rPr>
      <t xml:space="preserve">정상 진입</t>
    </r>
  </si>
  <si>
    <r>
      <rPr>
        <sz val="10"/>
        <rFont val="Noto Sans CJK SC"/>
        <family val="2"/>
      </rPr>
      <t xml:space="preserve">경로를 </t>
    </r>
    <r>
      <rPr>
        <sz val="10"/>
        <rFont val="Arial"/>
        <family val="0"/>
        <charset val="1"/>
      </rPr>
      <t xml:space="preserve">/partner → /fixer/requests </t>
    </r>
    <r>
      <rPr>
        <sz val="10"/>
        <rFont val="Noto Sans CJK SC"/>
        <family val="2"/>
      </rPr>
      <t xml:space="preserve">로 정정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기사페이지 담당자와 확인</t>
    </r>
  </si>
  <si>
    <t xml:space="preserve">C11</t>
  </si>
  <si>
    <t xml:space="preserve">D-01</t>
  </si>
  <si>
    <t xml:space="preserve">리뷰 관리</t>
  </si>
  <si>
    <r>
      <rPr>
        <sz val="10"/>
        <rFont val="Noto Sans CJK SC"/>
        <family val="2"/>
      </rPr>
      <t xml:space="preserve">메뉴 진입 후 별점 필터</t>
    </r>
    <r>
      <rPr>
        <sz val="10"/>
        <rFont val="Arial"/>
        <family val="0"/>
        <charset val="1"/>
      </rPr>
      <t xml:space="preserve">, [3</t>
    </r>
    <r>
      <rPr>
        <sz val="10"/>
        <rFont val="Noto Sans CJK SC"/>
        <family val="2"/>
      </rPr>
      <t xml:space="preserve">점 이하만</t>
    </r>
    <r>
      <rPr>
        <sz val="10"/>
        <rFont val="Arial"/>
        <family val="0"/>
        <charset val="1"/>
      </rPr>
      <t xml:space="preserve">], </t>
    </r>
    <r>
      <rPr>
        <sz val="10"/>
        <rFont val="Noto Sans CJK SC"/>
        <family val="2"/>
      </rPr>
      <t xml:space="preserve">이름 검색</t>
    </r>
    <r>
      <rPr>
        <sz val="10"/>
        <rFont val="Arial"/>
        <family val="0"/>
        <charset val="1"/>
      </rPr>
      <t xml:space="preserve">, 2</t>
    </r>
    <r>
      <rPr>
        <sz val="10"/>
        <rFont val="Noto Sans CJK SC"/>
        <family val="2"/>
      </rPr>
      <t xml:space="preserve">페이지 이동</t>
    </r>
  </si>
  <si>
    <r>
      <rPr>
        <sz val="10"/>
        <rFont val="Noto Sans CJK SC"/>
        <family val="2"/>
      </rPr>
      <t xml:space="preserve">별점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체크박스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기사 이름 </t>
    </r>
    <r>
      <rPr>
        <sz val="10"/>
        <rFont val="Arial"/>
        <family val="0"/>
        <charset val="1"/>
      </rPr>
      <t xml:space="preserve">/ 11</t>
    </r>
    <r>
      <rPr>
        <sz val="10"/>
        <rFont val="Noto Sans CJK SC"/>
        <family val="2"/>
      </rPr>
      <t xml:space="preserve">건 이상</t>
    </r>
  </si>
  <si>
    <t xml:space="preserve">각 조건에 맞는 리뷰만 표시되고 페이징 정상</t>
  </si>
  <si>
    <t xml:space="preserve">D01·D03·D04·D05·D06</t>
  </si>
  <si>
    <t xml:space="preserve">D-02</t>
  </si>
  <si>
    <t xml:space="preserve">리뷰 원문</t>
  </si>
  <si>
    <t xml:space="preserve">관리자 화면에서 리뷰 원문 노출 확인</t>
  </si>
  <si>
    <t xml:space="preserve">리뷰 여러 건</t>
  </si>
  <si>
    <r>
      <rPr>
        <sz val="10"/>
        <rFont val="Noto Sans CJK SC"/>
        <family val="2"/>
      </rPr>
      <t xml:space="preserve">원문 전체가 보임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다른 화면에서는 비노출이 기획 제약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</si>
  <si>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admin-reviews.jsp content 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c:out </t>
    </r>
    <r>
      <rPr>
        <sz val="10"/>
        <rFont val="Noto Sans CJK SC"/>
        <family val="2"/>
      </rPr>
      <t xml:space="preserve">으로 출력</t>
    </r>
  </si>
  <si>
    <t xml:space="preserve">D02</t>
  </si>
  <si>
    <t xml:space="preserve">D-03</t>
  </si>
  <si>
    <t xml:space="preserve">평점 하위 기사</t>
  </si>
  <si>
    <t xml:space="preserve">목록 산출 기준 확인</t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</si>
  <si>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2.5 / 3.0 / 3.5 </t>
    </r>
    <r>
      <rPr>
        <sz val="10"/>
        <rFont val="Noto Sans CJK SC"/>
        <family val="2"/>
      </rPr>
      <t xml:space="preserve">기사 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</si>
  <si>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3.0 </t>
    </r>
    <r>
      <rPr>
        <sz val="10"/>
        <rFont val="Noto Sans CJK SC"/>
        <family val="2"/>
      </rPr>
      <t xml:space="preserve">미만만 목록에 나옴 </t>
    </r>
    <r>
      <rPr>
        <sz val="10"/>
        <rFont val="Arial"/>
        <family val="0"/>
        <charset val="1"/>
      </rPr>
      <t xml:space="preserve">(3.0 </t>
    </r>
    <r>
      <rPr>
        <sz val="10"/>
        <rFont val="Noto Sans CJK SC"/>
        <family val="2"/>
      </rPr>
      <t xml:space="preserve">정확히는 제외</t>
    </r>
    <r>
      <rPr>
        <sz val="10"/>
        <rFont val="Arial"/>
        <family val="0"/>
        <charset val="1"/>
      </rPr>
      <t xml:space="preserve">)</t>
    </r>
  </si>
  <si>
    <t xml:space="preserve">HAVING AVG(SCORE) &lt; 3.0</t>
  </si>
  <si>
    <t xml:space="preserve">D07</t>
  </si>
  <si>
    <t xml:space="preserve">D-04</t>
  </si>
  <si>
    <t xml:space="preserve">기사 경고</t>
  </si>
  <si>
    <r>
      <rPr>
        <sz val="10"/>
        <rFont val="Noto Sans CJK SC"/>
        <family val="2"/>
      </rPr>
      <t xml:space="preserve">사유 입력 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사유 비우고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기사 경고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</si>
  <si>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사유 </t>
    </r>
    <r>
      <rPr>
        <sz val="10"/>
        <rFont val="Arial"/>
        <family val="0"/>
        <charset val="1"/>
      </rPr>
      <t xml:space="preserve">= "</t>
    </r>
    <r>
      <rPr>
        <sz val="10"/>
        <rFont val="Noto Sans CJK SC"/>
        <family val="2"/>
      </rPr>
      <t xml:space="preserve">반복적인 저평점</t>
    </r>
    <r>
      <rPr>
        <sz val="10"/>
        <rFont val="Arial"/>
        <family val="0"/>
        <charset val="1"/>
      </rPr>
      <t xml:space="preserve">" / </t>
    </r>
    <r>
      <rPr>
        <sz val="10"/>
        <rFont val="Noto Sans CJK SC"/>
        <family val="2"/>
      </rPr>
      <t xml:space="preserve">공백</t>
    </r>
  </si>
  <si>
    <r>
      <rPr>
        <sz val="10"/>
        <rFont val="Noto Sans CJK SC"/>
        <family val="2"/>
      </rPr>
      <t xml:space="preserve">입력 시 </t>
    </r>
    <r>
      <rPr>
        <sz val="10"/>
        <rFont val="Arial"/>
        <family val="0"/>
        <charset val="1"/>
      </rPr>
      <t xml:space="preserve">SANCTION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WARNING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공백이면 </t>
    </r>
    <r>
      <rPr>
        <sz val="10"/>
        <rFont val="Arial"/>
        <family val="0"/>
        <charset val="1"/>
      </rPr>
      <t xml:space="preserve">required </t>
    </r>
    <r>
      <rPr>
        <sz val="10"/>
        <rFont val="Noto Sans CJK SC"/>
        <family val="2"/>
      </rPr>
      <t xml:space="preserve">로 전송 차단</t>
    </r>
  </si>
  <si>
    <t xml:space="preserve">D08·D09</t>
  </si>
  <si>
    <t xml:space="preserve">D-05</t>
  </si>
  <si>
    <t xml:space="preserve">리뷰 삭제</t>
  </si>
  <si>
    <r>
      <rPr>
        <sz val="10"/>
        <rFont val="Noto Sans CJK SC"/>
        <family val="2"/>
      </rPr>
      <t xml:space="preserve">부적절 리뷰 삭제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사유 필수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</si>
  <si>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삭제 사유</t>
    </r>
  </si>
  <si>
    <t xml:space="preserve">목록에서 제거되고 사유가 기록됨</t>
  </si>
  <si>
    <t xml:space="preserve">미구현</t>
  </si>
  <si>
    <t xml:space="preserve">D12</t>
  </si>
  <si>
    <t xml:space="preserve">E-01</t>
  </si>
  <si>
    <t xml:space="preserve">화면 공통</t>
  </si>
  <si>
    <r>
      <rPr>
        <sz val="10"/>
        <rFont val="Noto Sans CJK SC"/>
        <family val="2"/>
      </rPr>
      <t xml:space="preserve">메뉴 이동</t>
    </r>
    <r>
      <rPr>
        <sz val="10"/>
        <rFont val="Arial"/>
        <family val="0"/>
        <charset val="1"/>
      </rPr>
      <t xml:space="preserve">·hover </t>
    </r>
    <r>
      <rPr>
        <sz val="10"/>
        <rFont val="Noto Sans CJK SC"/>
        <family val="2"/>
      </rPr>
      <t xml:space="preserve">동작과 스타일 로드 확인</t>
    </r>
  </si>
  <si>
    <r>
      <rPr>
        <sz val="10"/>
        <rFont val="Noto Sans CJK SC"/>
        <family val="2"/>
      </rPr>
      <t xml:space="preserve">접수현황 → 회원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기사 → 리뷰 순서로 이동</t>
    </r>
  </si>
  <si>
    <r>
      <rPr>
        <sz val="10"/>
        <rFont val="Noto Sans CJK SC"/>
        <family val="2"/>
      </rPr>
      <t xml:space="preserve">현재 메뉴만 강조</t>
    </r>
    <r>
      <rPr>
        <sz val="10"/>
        <rFont val="Arial"/>
        <family val="0"/>
        <charset val="1"/>
      </rPr>
      <t xml:space="preserve">, hover </t>
    </r>
    <r>
      <rPr>
        <sz val="10"/>
        <rFont val="Noto Sans CJK SC"/>
        <family val="2"/>
      </rPr>
      <t xml:space="preserve">시 글자 안 밀림</t>
    </r>
    <r>
      <rPr>
        <sz val="10"/>
        <rFont val="Arial"/>
        <family val="0"/>
        <charset val="1"/>
      </rPr>
      <t xml:space="preserve">, css·js 404 </t>
    </r>
    <r>
      <rPr>
        <sz val="10"/>
        <rFont val="Noto Sans CJK SC"/>
        <family val="2"/>
      </rPr>
      <t xml:space="preserve">없음</t>
    </r>
  </si>
  <si>
    <t xml:space="preserve">E01·E02·E03</t>
  </si>
  <si>
    <t xml:space="preserve">E-02</t>
  </si>
  <si>
    <t xml:space="preserve">신규 메뉴 진입</t>
  </si>
  <si>
    <r>
      <rPr>
        <sz val="10"/>
        <rFont val="Noto Sans CJK SC"/>
        <family val="2"/>
      </rPr>
      <t xml:space="preserve">헤더의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블랙리스트</t>
    </r>
    <r>
      <rPr>
        <sz val="10"/>
        <rFont val="Arial"/>
        <family val="0"/>
        <charset val="1"/>
      </rPr>
      <t xml:space="preserve">] · [</t>
    </r>
    <r>
      <rPr>
        <sz val="10"/>
        <rFont val="Noto Sans CJK SC"/>
        <family val="2"/>
      </rPr>
      <t xml:space="preserve">문의 응대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</si>
  <si>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t xml:space="preserve">관리자 로그인 상태</t>
  </si>
  <si>
    <t xml:space="preserve">각 관리 화면이 정상 표시</t>
  </si>
  <si>
    <r>
      <rPr>
        <sz val="10"/>
        <rFont val="Noto Sans CJK SC"/>
        <family val="2"/>
      </rPr>
      <t xml:space="preserve">구현 완료 </t>
    </r>
    <r>
      <rPr>
        <sz val="10"/>
        <rFont val="Arial"/>
        <family val="0"/>
        <charset val="1"/>
      </rPr>
      <t xml:space="preserve">(AdminBlacklistController / AdminInquiryController)</t>
    </r>
  </si>
  <si>
    <t xml:space="preserve">E04·E05</t>
  </si>
  <si>
    <t xml:space="preserve">E-03</t>
  </si>
  <si>
    <t xml:space="preserve">서버 기동</t>
  </si>
  <si>
    <t xml:space="preserve">애플리케이션 실행</t>
  </si>
  <si>
    <t xml:space="preserve">현재 소스 기준</t>
  </si>
  <si>
    <t xml:space="preserve">정상 기동</t>
  </si>
  <si>
    <r>
      <rPr>
        <sz val="10"/>
        <rFont val="Arial"/>
        <family val="0"/>
        <charset val="1"/>
      </rPr>
      <t xml:space="preserve">ISSUE-02·03 </t>
    </r>
    <r>
      <rPr>
        <sz val="10"/>
        <rFont val="Noto Sans CJK SC"/>
        <family val="2"/>
      </rPr>
      <t xml:space="preserve">해소</t>
    </r>
    <r>
      <rPr>
        <sz val="10"/>
        <rFont val="Arial"/>
        <family val="0"/>
        <charset val="1"/>
      </rPr>
      <t xml:space="preserve">. mybatis </t>
    </r>
    <r>
      <rPr>
        <sz val="10"/>
        <rFont val="Noto Sans CJK SC"/>
        <family val="2"/>
      </rPr>
      <t xml:space="preserve">의존성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ChatMapper.xml </t>
    </r>
    <r>
      <rPr>
        <sz val="10"/>
        <rFont val="Noto Sans CJK SC"/>
        <family val="2"/>
      </rPr>
      <t xml:space="preserve">파싱 정상</t>
    </r>
  </si>
  <si>
    <t xml:space="preserve">E07</t>
  </si>
  <si>
    <t xml:space="preserve">E-04</t>
  </si>
  <si>
    <t xml:space="preserve">빌드 위생</t>
  </si>
  <si>
    <t xml:space="preserve">브랜치 전환 직후 서버 기동</t>
  </si>
  <si>
    <r>
      <rPr>
        <sz val="10"/>
        <rFont val="Noto Sans CJK SC"/>
        <family val="2"/>
      </rPr>
      <t xml:space="preserve">다른 브랜치에서 </t>
    </r>
    <r>
      <rPr>
        <sz val="10"/>
        <rFont val="Arial"/>
        <family val="0"/>
        <charset val="1"/>
      </rPr>
      <t xml:space="preserve">checkout </t>
    </r>
    <r>
      <rPr>
        <sz val="10"/>
        <rFont val="Noto Sans CJK SC"/>
        <family val="2"/>
      </rPr>
      <t xml:space="preserve">직후</t>
    </r>
  </si>
  <si>
    <r>
      <rPr>
        <sz val="10"/>
        <rFont val="Arial"/>
        <family val="0"/>
        <charset val="1"/>
      </rPr>
      <t xml:space="preserve">target </t>
    </r>
    <r>
      <rPr>
        <sz val="10"/>
        <rFont val="Noto Sans CJK SC"/>
        <family val="2"/>
      </rPr>
      <t xml:space="preserve">에 남은 옛 매퍼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때문에 기동 실패하지 않음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</si>
  <si>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. target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.gitignore </t>
    </r>
    <r>
      <rPr>
        <sz val="10"/>
        <rFont val="Noto Sans CJK SC"/>
        <family val="2"/>
      </rPr>
      <t xml:space="preserve">라 </t>
    </r>
    <r>
      <rPr>
        <sz val="10"/>
        <rFont val="Arial"/>
        <family val="0"/>
        <charset val="1"/>
      </rPr>
      <t xml:space="preserve">checkout </t>
    </r>
    <r>
      <rPr>
        <sz val="10"/>
        <rFont val="Noto Sans CJK SC"/>
        <family val="2"/>
      </rPr>
      <t xml:space="preserve">이 안 지움 → </t>
    </r>
    <r>
      <rPr>
        <sz val="10"/>
        <rFont val="Arial"/>
        <family val="0"/>
        <charset val="1"/>
      </rPr>
      <t xml:space="preserve">Project &gt; Clean </t>
    </r>
    <r>
      <rPr>
        <sz val="10"/>
        <rFont val="Noto Sans CJK SC"/>
        <family val="2"/>
      </rPr>
      <t xml:space="preserve">필수</t>
    </r>
  </si>
  <si>
    <t xml:space="preserve">E08</t>
  </si>
  <si>
    <t xml:space="preserve">E-05</t>
  </si>
  <si>
    <r>
      <rPr>
        <sz val="10"/>
        <rFont val="Noto Sans CJK SC"/>
        <family val="2"/>
      </rPr>
      <t xml:space="preserve">보안 </t>
    </r>
    <r>
      <rPr>
        <sz val="10"/>
        <rFont val="Arial"/>
        <family val="0"/>
        <charset val="1"/>
      </rPr>
      <t xml:space="preserve">- XSS </t>
    </r>
    <r>
      <rPr>
        <sz val="10"/>
        <rFont val="Noto Sans CJK SC"/>
        <family val="2"/>
      </rPr>
      <t xml:space="preserve">통합</t>
    </r>
  </si>
  <si>
    <t xml:space="preserve">스크립트가 들어간 데이터를 관리자 화면 전체에서 열람</t>
  </si>
  <si>
    <r>
      <rPr>
        <sz val="10"/>
        <rFont val="Noto Sans CJK SC"/>
        <family val="2"/>
      </rPr>
      <t xml:space="preserve">접수 제목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회원 이름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리뷰 원문 </t>
    </r>
    <r>
      <rPr>
        <sz val="10"/>
        <rFont val="Arial"/>
        <family val="0"/>
        <charset val="1"/>
      </rPr>
      <t xml:space="preserve">= &lt;script&gt;alert(1)&lt;/script&gt; · </t>
    </r>
    <r>
      <rPr>
        <sz val="10"/>
        <rFont val="Noto Sans CJK SC"/>
        <family val="2"/>
      </rPr>
      <t xml:space="preserve">검색어에도 주입</t>
    </r>
  </si>
  <si>
    <r>
      <rPr>
        <sz val="10"/>
        <rFont val="Noto Sans CJK SC"/>
        <family val="2"/>
      </rPr>
      <t xml:space="preserve">모든 화면에서 글자 그대로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팝업 없음</t>
    </r>
  </si>
  <si>
    <r>
      <rPr>
        <sz val="10"/>
        <rFont val="Arial"/>
        <family val="0"/>
        <charset val="1"/>
      </rPr>
      <t xml:space="preserve">ISSUE-01 </t>
    </r>
    <r>
      <rPr>
        <sz val="10"/>
        <rFont val="Noto Sans CJK SC"/>
        <family val="2"/>
      </rPr>
      <t xml:space="preserve">해소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출력은 </t>
    </r>
    <r>
      <rPr>
        <sz val="10"/>
        <rFont val="Arial"/>
        <family val="0"/>
        <charset val="1"/>
      </rPr>
      <t xml:space="preserve">c:out, </t>
    </r>
    <r>
      <rPr>
        <sz val="10"/>
        <rFont val="Noto Sans CJK SC"/>
        <family val="2"/>
      </rPr>
      <t xml:space="preserve">검색어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페이징 링크는 </t>
    </r>
    <r>
      <rPr>
        <sz val="10"/>
        <rFont val="Arial"/>
        <family val="0"/>
        <charset val="1"/>
      </rPr>
      <t xml:space="preserve">fn:escapeXml </t>
    </r>
    <r>
      <rPr>
        <sz val="10"/>
        <rFont val="Noto Sans CJK SC"/>
        <family val="2"/>
      </rPr>
      <t xml:space="preserve">확인</t>
    </r>
  </si>
  <si>
    <t xml:space="preserve">B16·B17·C12·D10</t>
  </si>
  <si>
    <t xml:space="preserve">E-06</t>
  </si>
  <si>
    <t xml:space="preserve">감사 로그</t>
  </si>
  <si>
    <r>
      <rPr>
        <sz val="10"/>
        <rFont val="Noto Sans CJK SC"/>
        <family val="2"/>
      </rPr>
      <t xml:space="preserve">기사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경고 후 이력 확인</t>
    </r>
  </si>
  <si>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수행</t>
    </r>
  </si>
  <si>
    <r>
      <rPr>
        <sz val="10"/>
        <rFont val="Noto Sans CJK SC"/>
        <family val="2"/>
      </rPr>
      <t xml:space="preserve">누가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언제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왜 처리했는지 기록</t>
    </r>
  </si>
  <si>
    <r>
      <rPr>
        <sz val="10"/>
        <rFont val="Arial"/>
        <family val="0"/>
        <charset val="1"/>
      </rPr>
      <t xml:space="preserve">ISSUE-04 : ADMIN_LOG </t>
    </r>
    <r>
      <rPr>
        <sz val="10"/>
        <rFont val="Noto Sans CJK SC"/>
        <family val="2"/>
      </rPr>
      <t xml:space="preserve">테이블 없음</t>
    </r>
  </si>
  <si>
    <t xml:space="preserve">C13·D11</t>
  </si>
  <si>
    <t xml:space="preserve">F-01</t>
  </si>
  <si>
    <t xml:space="preserve">채팅방 생성</t>
  </si>
  <si>
    <r>
      <rPr>
        <sz val="10"/>
        <rFont val="Noto Sans CJK SC"/>
        <family val="2"/>
      </rPr>
      <t xml:space="preserve">① 매칭완료 접수에서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기사와 채팅</t>
    </r>
    <r>
      <rPr>
        <sz val="10"/>
        <rFont val="Arial"/>
        <family val="0"/>
        <charset val="1"/>
      </rPr>
      <t xml:space="preserve">] ② </t>
    </r>
    <r>
      <rPr>
        <sz val="10"/>
        <rFont val="Noto Sans CJK SC"/>
        <family val="2"/>
      </rPr>
      <t xml:space="preserve">기사 미배정 접수 주소로 직접 접근</t>
    </r>
  </si>
  <si>
    <r>
      <rPr>
        <sz val="10"/>
        <rFont val="Arial"/>
        <family val="0"/>
        <charset val="1"/>
      </rPr>
      <t xml:space="preserve">① REQ_03 </t>
    </r>
    <r>
      <rPr>
        <sz val="10"/>
        <rFont val="Noto Sans CJK SC"/>
        <family val="2"/>
      </rPr>
      <t xml:space="preserve">접수 ② </t>
    </r>
    <r>
      <rPr>
        <sz val="10"/>
        <rFont val="Arial"/>
        <family val="0"/>
        <charset val="1"/>
      </rPr>
      <t xml:space="preserve">REQ_01 </t>
    </r>
    <r>
      <rPr>
        <sz val="10"/>
        <rFont val="Noto Sans CJK SC"/>
        <family val="2"/>
      </rPr>
      <t xml:space="preserve">접수 </t>
    </r>
    <r>
      <rPr>
        <sz val="10"/>
        <rFont val="Arial"/>
        <family val="0"/>
        <charset val="1"/>
      </rPr>
      <t xml:space="preserve">+ /orders/{id}/chat</t>
    </r>
  </si>
  <si>
    <t xml:space="preserve">① 방이 자동 생성되고 진입 ② 방을 안 만들고 안내 문구만</t>
  </si>
  <si>
    <r>
      <rPr>
        <sz val="10"/>
        <rFont val="Arial"/>
        <family val="0"/>
        <charset val="1"/>
      </rPr>
      <t xml:space="preserve">ESTIMATES.STATUS='SELECTED' </t>
    </r>
    <r>
      <rPr>
        <sz val="10"/>
        <rFont val="Noto Sans CJK SC"/>
        <family val="2"/>
      </rPr>
      <t xml:space="preserve">인 기사가 있어야 생성</t>
    </r>
  </si>
  <si>
    <t xml:space="preserve">F-02</t>
  </si>
  <si>
    <r>
      <rPr>
        <sz val="10"/>
        <rFont val="Noto Sans CJK SC"/>
        <family val="2"/>
      </rPr>
      <t xml:space="preserve">채팅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권한</t>
    </r>
  </si>
  <si>
    <t xml:space="preserve">① 남의 접수 채팅방 주소 접근 ② 비로그인으로 접근</t>
  </si>
  <si>
    <r>
      <rPr>
        <sz val="10"/>
        <rFont val="Noto Sans CJK SC"/>
        <family val="2"/>
      </rPr>
      <t xml:space="preserve">① 다른 고객의 </t>
    </r>
    <r>
      <rPr>
        <sz val="10"/>
        <rFont val="Arial"/>
        <family val="0"/>
        <charset val="1"/>
      </rPr>
      <t xml:space="preserve">requestId ② </t>
    </r>
    <r>
      <rPr>
        <sz val="10"/>
        <rFont val="Noto Sans CJK SC"/>
        <family val="2"/>
      </rPr>
      <t xml:space="preserve">세션 없음</t>
    </r>
  </si>
  <si>
    <r>
      <rPr>
        <sz val="10"/>
        <rFont val="Noto Sans CJK SC"/>
        <family val="2"/>
      </rPr>
      <t xml:space="preserve">① 권한 없음 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대화 미노출 ② 로그인 화면 → 로그인 후 원래 방으로 복귀</t>
    </r>
  </si>
  <si>
    <t xml:space="preserve">canAccess + redirectURL</t>
  </si>
  <si>
    <t xml:space="preserve">F-03</t>
  </si>
  <si>
    <t xml:space="preserve">실시간 송수신</t>
  </si>
  <si>
    <r>
      <rPr>
        <sz val="10"/>
        <rFont val="Noto Sans CJK SC"/>
        <family val="2"/>
      </rPr>
      <t xml:space="preserve">고객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기사 창을 각각 열고 서로 메시지 전송</t>
    </r>
  </si>
  <si>
    <r>
      <rPr>
        <sz val="10"/>
        <rFont val="Noto Sans CJK SC"/>
        <family val="2"/>
      </rPr>
      <t xml:space="preserve">일반 창 고객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시크릿 창 기사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같은 방</t>
    </r>
  </si>
  <si>
    <r>
      <rPr>
        <sz val="10"/>
        <rFont val="Noto Sans CJK SC"/>
        <family val="2"/>
      </rPr>
      <t xml:space="preserve">양쪽 모두 새로고침 없이 즉시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 메시지는 오른쪽 파란 말풍선</t>
    </r>
  </si>
  <si>
    <r>
      <rPr>
        <sz val="10"/>
        <rFont val="Arial"/>
        <family val="0"/>
        <charset val="1"/>
      </rPr>
      <t xml:space="preserve">STOMP /pub → /sub </t>
    </r>
    <r>
      <rPr>
        <sz val="10"/>
        <rFont val="Noto Sans CJK SC"/>
        <family val="2"/>
      </rPr>
      <t xml:space="preserve">브로드캐스트</t>
    </r>
  </si>
  <si>
    <t xml:space="preserve">F-04</t>
  </si>
  <si>
    <t xml:space="preserve">연결 복구</t>
  </si>
  <si>
    <t xml:space="preserve">채팅방을 연 채로 서버 재기동</t>
  </si>
  <si>
    <t xml:space="preserve">진행 중인 대화방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</si>
  <si>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재연결 중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표시 후 자동으로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연결됨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복구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</si>
  <si>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 간격 재연결</t>
    </r>
  </si>
  <si>
    <t xml:space="preserve">F-05</t>
  </si>
  <si>
    <r>
      <rPr>
        <sz val="10"/>
        <rFont val="Noto Sans CJK SC"/>
        <family val="2"/>
      </rPr>
      <t xml:space="preserve">보안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발신자 위조</t>
    </r>
  </si>
  <si>
    <r>
      <rPr>
        <sz val="10"/>
        <rFont val="Noto Sans CJK SC"/>
        <family val="2"/>
      </rPr>
      <t xml:space="preserve">개발자 도구로 </t>
    </r>
    <r>
      <rPr>
        <sz val="10"/>
        <rFont val="Arial"/>
        <family val="0"/>
        <charset val="1"/>
      </rPr>
      <t xml:space="preserve">senderNo </t>
    </r>
    <r>
      <rPr>
        <sz val="10"/>
        <rFont val="Noto Sans CJK SC"/>
        <family val="2"/>
      </rPr>
      <t xml:space="preserve">를 남의 번호로 바꿔 전송</t>
    </r>
  </si>
  <si>
    <r>
      <rPr>
        <sz val="10"/>
        <rFont val="Arial"/>
        <family val="0"/>
        <charset val="1"/>
      </rPr>
      <t xml:space="preserve">STOMP </t>
    </r>
    <r>
      <rPr>
        <sz val="10"/>
        <rFont val="Noto Sans CJK SC"/>
        <family val="2"/>
      </rPr>
      <t xml:space="preserve">페이로드 조작</t>
    </r>
  </si>
  <si>
    <t xml:space="preserve">조작 값이 무시되고 세션의 내 번호로 저장됨</t>
  </si>
  <si>
    <t xml:space="preserve">발신자는 세션에서만 읽음</t>
  </si>
  <si>
    <t xml:space="preserve">F-06</t>
  </si>
  <si>
    <r>
      <rPr>
        <sz val="10"/>
        <rFont val="Noto Sans CJK SC"/>
        <family val="2"/>
      </rPr>
      <t xml:space="preserve">보안 </t>
    </r>
    <r>
      <rPr>
        <sz val="10"/>
        <rFont val="Arial"/>
        <family val="0"/>
        <charset val="1"/>
      </rPr>
      <t xml:space="preserve">- XSS</t>
    </r>
  </si>
  <si>
    <t xml:space="preserve">스크립트를 메시지로 전송</t>
  </si>
  <si>
    <t xml:space="preserve">&lt;script&gt;alert(1)&lt;/script&gt;</t>
  </si>
  <si>
    <r>
      <rPr>
        <sz val="10"/>
        <rFont val="Noto Sans CJK SC"/>
        <family val="2"/>
      </rPr>
      <t xml:space="preserve">양쪽 화면에 글자 그대로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팝업 없음</t>
    </r>
  </si>
  <si>
    <t xml:space="preserve">JSP c:out + JS textContent</t>
  </si>
  <si>
    <t xml:space="preserve">F-07</t>
  </si>
  <si>
    <t xml:space="preserve">암호화</t>
  </si>
  <si>
    <r>
      <rPr>
        <sz val="10"/>
        <rFont val="Noto Sans CJK SC"/>
        <family val="2"/>
      </rPr>
      <t xml:space="preserve">메시지 전송 후 ①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조회 ② 화면 확인</t>
    </r>
  </si>
  <si>
    <t xml:space="preserve">SELECT CONTENT FROM CHAT_MESSAGE ORDER BY MESSAGE_ID DESC</t>
  </si>
  <si>
    <r>
      <rPr>
        <sz val="10"/>
        <rFont val="Arial"/>
        <family val="0"/>
        <charset val="1"/>
      </rPr>
      <t xml:space="preserve">① enc:v1: </t>
    </r>
    <r>
      <rPr>
        <sz val="10"/>
        <rFont val="Noto Sans CJK SC"/>
        <family val="2"/>
      </rPr>
      <t xml:space="preserve">로 시작하는 암호문 ② 화면에는 평문으로 정상 표시</t>
    </r>
  </si>
  <si>
    <t xml:space="preserve">AES-256-GCM TypeHandler</t>
  </si>
  <si>
    <t xml:space="preserve">F-08</t>
  </si>
  <si>
    <r>
      <rPr>
        <sz val="10"/>
        <rFont val="Noto Sans CJK SC"/>
        <family val="2"/>
      </rPr>
      <t xml:space="preserve">암호화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무결성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</si>
  <si>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에서 암호문 한 글자를 임의로 수정 후 방 열기</t>
    </r>
  </si>
  <si>
    <t xml:space="preserve">UPDATE CHAT_MESSAGE SET CONTENT=...</t>
  </si>
  <si>
    <r>
      <rPr>
        <sz val="10"/>
        <rFont val="Noto Sans CJK SC"/>
        <family val="2"/>
      </rPr>
      <t xml:space="preserve">그 줄만 </t>
    </r>
    <r>
      <rPr>
        <sz val="10"/>
        <rFont val="Arial"/>
        <family val="0"/>
        <charset val="1"/>
      </rPr>
      <t xml:space="preserve">"[</t>
    </r>
    <r>
      <rPr>
        <sz val="10"/>
        <rFont val="Noto Sans CJK SC"/>
        <family val="2"/>
      </rPr>
      <t xml:space="preserve">복호화할 수 없는 메시지</t>
    </r>
    <r>
      <rPr>
        <sz val="10"/>
        <rFont val="Arial"/>
        <family val="0"/>
        <charset val="1"/>
      </rPr>
      <t xml:space="preserve">]" </t>
    </r>
    <r>
      <rPr>
        <sz val="10"/>
        <rFont val="Noto Sans CJK SC"/>
        <family val="2"/>
      </rPr>
      <t xml:space="preserve">로 표시되고 방은 정상 열림</t>
    </r>
  </si>
  <si>
    <r>
      <rPr>
        <sz val="10"/>
        <rFont val="Arial"/>
        <family val="0"/>
        <charset val="1"/>
      </rPr>
      <t xml:space="preserve">GCM </t>
    </r>
    <r>
      <rPr>
        <sz val="10"/>
        <rFont val="Noto Sans CJK SC"/>
        <family val="2"/>
      </rPr>
      <t xml:space="preserve">검증 태그</t>
    </r>
  </si>
  <si>
    <t xml:space="preserve">F-09</t>
  </si>
  <si>
    <t xml:space="preserve">길이 제한</t>
  </si>
  <si>
    <r>
      <rPr>
        <sz val="10"/>
        <rFont val="Noto Sans CJK SC"/>
        <family val="2"/>
      </rPr>
      <t xml:space="preserve">한글 </t>
    </r>
    <r>
      <rPr>
        <sz val="10"/>
        <rFont val="Arial"/>
        <family val="0"/>
        <charset val="1"/>
      </rPr>
      <t xml:space="preserve">989</t>
    </r>
    <r>
      <rPr>
        <sz val="10"/>
        <rFont val="Noto Sans CJK SC"/>
        <family val="2"/>
      </rPr>
      <t xml:space="preserve">자 메시지 전송 시도</t>
    </r>
  </si>
  <si>
    <r>
      <rPr>
        <sz val="10"/>
        <rFont val="Noto Sans CJK SC"/>
        <family val="2"/>
      </rPr>
      <t xml:space="preserve">입력창에 </t>
    </r>
    <r>
      <rPr>
        <sz val="10"/>
        <rFont val="Arial"/>
        <family val="0"/>
        <charset val="1"/>
      </rPr>
      <t xml:space="preserve">989</t>
    </r>
    <r>
      <rPr>
        <sz val="10"/>
        <rFont val="Noto Sans CJK SC"/>
        <family val="2"/>
      </rPr>
      <t xml:space="preserve">자 붙여넣기</t>
    </r>
  </si>
  <si>
    <r>
      <rPr>
        <sz val="10"/>
        <rFont val="Arial"/>
        <family val="0"/>
        <charset val="1"/>
      </rPr>
      <t xml:space="preserve">maxlength 988 </t>
    </r>
    <r>
      <rPr>
        <sz val="10"/>
        <rFont val="Noto Sans CJK SC"/>
        <family val="2"/>
      </rPr>
      <t xml:space="preserve">로 잘려 저장 실패가 일어나지 않음</t>
    </r>
  </si>
  <si>
    <r>
      <rPr>
        <sz val="10"/>
        <rFont val="Noto Sans CJK SC"/>
        <family val="2"/>
      </rPr>
      <t xml:space="preserve">서버 상수는 아직 </t>
    </r>
    <r>
      <rPr>
        <sz val="10"/>
        <rFont val="Arial"/>
        <family val="0"/>
        <charset val="1"/>
      </rPr>
      <t xml:space="preserve">1000 → 988 </t>
    </r>
    <r>
      <rPr>
        <sz val="10"/>
        <rFont val="Noto Sans CJK SC"/>
        <family val="2"/>
      </rPr>
      <t xml:space="preserve">로 낮추는 보완 필요</t>
    </r>
  </si>
  <si>
    <t xml:space="preserve">F-10</t>
  </si>
  <si>
    <r>
      <rPr>
        <sz val="10"/>
        <rFont val="Noto Sans CJK SC"/>
        <family val="2"/>
      </rPr>
      <t xml:space="preserve">대화 이력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읽음</t>
    </r>
  </si>
  <si>
    <t xml:space="preserve">방을 나갔다 재진입</t>
  </si>
  <si>
    <r>
      <rPr>
        <sz val="10"/>
        <rFont val="Noto Sans CJK SC"/>
        <family val="2"/>
      </rPr>
      <t xml:space="preserve">기존 대화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상대가 보낸 안 읽은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</t>
    </r>
  </si>
  <si>
    <r>
      <rPr>
        <sz val="10"/>
        <rFont val="Noto Sans CJK SC"/>
        <family val="2"/>
      </rPr>
      <t xml:space="preserve">이전 대화가 순서대로 표시되고 안 읽은 개수가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으로 바뀜</t>
    </r>
  </si>
  <si>
    <r>
      <rPr>
        <sz val="10"/>
        <rFont val="Arial"/>
        <family val="0"/>
        <charset val="1"/>
      </rPr>
      <t xml:space="preserve">READ_AT </t>
    </r>
    <r>
      <rPr>
        <sz val="10"/>
        <rFont val="Noto Sans CJK SC"/>
        <family val="2"/>
      </rPr>
      <t xml:space="preserve">갱신</t>
    </r>
  </si>
  <si>
    <t xml:space="preserve">F-11</t>
  </si>
  <si>
    <r>
      <rPr>
        <sz val="10"/>
        <rFont val="Arial"/>
        <family val="0"/>
        <charset val="1"/>
      </rPr>
      <t xml:space="preserve">1:1 </t>
    </r>
    <r>
      <rPr>
        <sz val="10"/>
        <rFont val="Noto Sans CJK SC"/>
        <family val="2"/>
      </rPr>
      <t xml:space="preserve">문의</t>
    </r>
  </si>
  <si>
    <r>
      <rPr>
        <sz val="10"/>
        <rFont val="Arial"/>
        <family val="0"/>
        <charset val="1"/>
      </rPr>
      <t xml:space="preserve">① [1:1 </t>
    </r>
    <r>
      <rPr>
        <sz val="10"/>
        <rFont val="Noto Sans CJK SC"/>
        <family val="2"/>
      </rPr>
      <t xml:space="preserve">문의하기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 ② 다시 클릭 ③ 고객센터 화면의 내 문의 내역 확인</t>
    </r>
  </si>
  <si>
    <t xml:space="preserve">고객 로그인</t>
  </si>
  <si>
    <t xml:space="preserve">① 문의방 생성 후 진입 ② 새 방 없이 기존 방으로 ③ 최근 메시지와 안 읽은 개수 표시</t>
  </si>
  <si>
    <t xml:space="preserve">REQUEST_ID = NULL / getOrCreateSupportRoom</t>
  </si>
  <si>
    <t xml:space="preserve">F-12</t>
  </si>
  <si>
    <t xml:space="preserve">관리자 응대</t>
  </si>
  <si>
    <r>
      <rPr>
        <sz val="10"/>
        <rFont val="Arial"/>
        <family val="0"/>
        <charset val="1"/>
      </rPr>
      <t xml:space="preserve">/admin/inquiries </t>
    </r>
    <r>
      <rPr>
        <sz val="10"/>
        <rFont val="Noto Sans CJK SC"/>
        <family val="2"/>
      </rPr>
      <t xml:space="preserve">에서 필터 확인 후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답변하기</t>
    </r>
    <r>
      <rPr>
        <sz val="10"/>
        <rFont val="Arial"/>
        <family val="0"/>
        <charset val="1"/>
      </rPr>
      <t xml:space="preserve">] → </t>
    </r>
    <r>
      <rPr>
        <sz val="10"/>
        <rFont val="Noto Sans CJK SC"/>
        <family val="2"/>
      </rPr>
      <t xml:space="preserve">답변 전송</t>
    </r>
  </si>
  <si>
    <r>
      <rPr>
        <sz val="10"/>
        <rFont val="Noto Sans CJK SC"/>
        <family val="2"/>
      </rPr>
      <t xml:space="preserve">문의방 여러 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고객 창을 열어둠</t>
    </r>
  </si>
  <si>
    <r>
      <rPr>
        <sz val="10"/>
        <rFont val="Noto Sans CJK SC"/>
        <family val="2"/>
      </rPr>
      <t xml:space="preserve">대기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완료 필터가 마지막 발신자 기준으로 분류되고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답변이 고객 화면에 즉시 표시</t>
    </r>
  </si>
  <si>
    <r>
      <rPr>
        <sz val="10"/>
        <rFont val="Arial"/>
        <family val="0"/>
        <charset val="1"/>
      </rPr>
      <t xml:space="preserve">surit_support </t>
    </r>
    <r>
      <rPr>
        <sz val="10"/>
        <rFont val="Noto Sans CJK SC"/>
        <family val="2"/>
      </rPr>
      <t xml:space="preserve">계정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계정 없으면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대신 안내 문구</t>
    </r>
  </si>
  <si>
    <t xml:space="preserve">F-13</t>
  </si>
  <si>
    <t xml:space="preserve">견적 수락</t>
  </si>
  <si>
    <r>
      <rPr>
        <sz val="10"/>
        <rFont val="Arial"/>
        <family val="0"/>
        <charset val="1"/>
      </rPr>
      <t xml:space="preserve">① [</t>
    </r>
    <r>
      <rPr>
        <sz val="10"/>
        <rFont val="Noto Sans CJK SC"/>
        <family val="2"/>
      </rPr>
      <t xml:space="preserve">이 기사님으로 결정</t>
    </r>
    <r>
      <rPr>
        <sz val="10"/>
        <rFont val="Arial"/>
        <family val="0"/>
        <charset val="1"/>
      </rPr>
      <t xml:space="preserve">] ② </t>
    </r>
    <r>
      <rPr>
        <sz val="10"/>
        <rFont val="Noto Sans CJK SC"/>
        <family val="2"/>
      </rPr>
      <t xml:space="preserve">두 번 클릭 ③ 남의 </t>
    </r>
    <r>
      <rPr>
        <sz val="10"/>
        <rFont val="Arial"/>
        <family val="0"/>
        <charset val="1"/>
      </rPr>
      <t xml:space="preserve">estimateId </t>
    </r>
    <r>
      <rPr>
        <sz val="10"/>
        <rFont val="Noto Sans CJK SC"/>
        <family val="2"/>
      </rPr>
      <t xml:space="preserve">로 폼 조작</t>
    </r>
  </si>
  <si>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견적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이상</t>
    </r>
  </si>
  <si>
    <r>
      <rPr>
        <sz val="10"/>
        <rFont val="Noto Sans CJK SC"/>
        <family val="2"/>
      </rPr>
      <t xml:space="preserve">① 선택 </t>
    </r>
    <r>
      <rPr>
        <sz val="10"/>
        <rFont val="Arial"/>
        <family val="0"/>
        <charset val="1"/>
      </rPr>
      <t xml:space="preserve">SELECTED·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REJECTED·</t>
    </r>
    <r>
      <rPr>
        <sz val="10"/>
        <rFont val="Noto Sans CJK SC"/>
        <family val="2"/>
      </rPr>
      <t xml:space="preserve">접수 </t>
    </r>
    <r>
      <rPr>
        <sz val="10"/>
        <rFont val="Arial"/>
        <family val="0"/>
        <charset val="1"/>
      </rPr>
      <t xml:space="preserve">REQ_03 ② </t>
    </r>
    <r>
      <rPr>
        <sz val="10"/>
        <rFont val="Noto Sans CJK SC"/>
        <family val="2"/>
      </rPr>
      <t xml:space="preserve">두 번째는 차단 ③ 아무 값도 안 바뀜</t>
    </r>
  </si>
  <si>
    <r>
      <rPr>
        <sz val="10"/>
        <rFont val="Noto Sans CJK SC"/>
        <family val="2"/>
      </rPr>
      <t xml:space="preserve">한 트랜잭션</t>
    </r>
    <r>
      <rPr>
        <sz val="10"/>
        <rFont val="Arial"/>
        <family val="0"/>
        <charset val="1"/>
      </rPr>
      <t xml:space="preserve">. SQL WHERE </t>
    </r>
    <r>
      <rPr>
        <sz val="10"/>
        <rFont val="Noto Sans CJK SC"/>
        <family val="2"/>
      </rPr>
      <t xml:space="preserve">절로 방어</t>
    </r>
  </si>
  <si>
    <t xml:space="preserve">F-14</t>
  </si>
  <si>
    <t xml:space="preserve">견적 수락 연계</t>
  </si>
  <si>
    <t xml:space="preserve">견적 수락 직후 마이페이지 확인</t>
  </si>
  <si>
    <r>
      <rPr>
        <sz val="10"/>
        <rFont val="Arial"/>
        <family val="0"/>
        <charset val="1"/>
      </rPr>
      <t xml:space="preserve">F-13 ① </t>
    </r>
    <r>
      <rPr>
        <sz val="10"/>
        <rFont val="Noto Sans CJK SC"/>
        <family val="2"/>
      </rPr>
      <t xml:space="preserve">수행 직후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</si>
  <si>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기사와 채팅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버튼이 나타나고 클릭 시 채팅방 생성</t>
    </r>
  </si>
  <si>
    <t xml:space="preserve">채팅 시작 조건 검증</t>
  </si>
  <si>
    <t xml:space="preserve">F-15</t>
  </si>
  <si>
    <t xml:space="preserve">채팅 진입점</t>
  </si>
  <si>
    <r>
      <rPr>
        <sz val="10"/>
        <rFont val="Noto Sans CJK SC"/>
        <family val="2"/>
      </rPr>
      <t xml:space="preserve">헤더의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채팅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클릭</t>
    </r>
  </si>
  <si>
    <r>
      <rPr>
        <sz val="10"/>
        <rFont val="Noto Sans CJK SC"/>
        <family val="2"/>
      </rPr>
      <t xml:space="preserve">① 방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 ② 방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</si>
  <si>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① 가장 최근 방으로 이동 ② 안내 문구와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수릿 문의하기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카드만 표시</t>
    </r>
  </si>
  <si>
    <t xml:space="preserve">GET /chat</t>
  </si>
  <si>
    <t xml:space="preserve">테스트 결과 요약</t>
  </si>
  <si>
    <t xml:space="preserve">구분</t>
  </si>
  <si>
    <t xml:space="preserve">건수</t>
  </si>
  <si>
    <t xml:space="preserve">전체</t>
  </si>
  <si>
    <r>
      <rPr>
        <sz val="10"/>
        <rFont val="Noto Sans CJK SC"/>
        <family val="2"/>
      </rPr>
      <t xml:space="preserve">미실행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채팅</t>
    </r>
    <r>
      <rPr>
        <sz val="10"/>
        <rFont val="Arial"/>
        <family val="0"/>
        <charset val="1"/>
      </rPr>
      <t xml:space="preserve">)</t>
    </r>
  </si>
  <si>
    <t xml:space="preserve">남은 이슈</t>
  </si>
  <si>
    <t xml:space="preserve">ISSUE-04</t>
  </si>
  <si>
    <r>
      <rPr>
        <sz val="10"/>
        <rFont val="Arial"/>
        <family val="0"/>
        <charset val="1"/>
      </rPr>
      <t xml:space="preserve">ADMIN_LOG </t>
    </r>
    <r>
      <rPr>
        <sz val="10"/>
        <rFont val="Noto Sans CJK SC"/>
        <family val="2"/>
      </rPr>
      <t xml:space="preserve">테이블 없음 → 관리자 조치 이력 미기록 </t>
    </r>
    <r>
      <rPr>
        <sz val="10"/>
        <rFont val="Arial"/>
        <family val="0"/>
        <charset val="1"/>
      </rPr>
      <t xml:space="preserve">(B-07 / E-06)</t>
    </r>
  </si>
  <si>
    <t xml:space="preserve">ISSUE-05</t>
  </si>
  <si>
    <r>
      <rPr>
        <sz val="10"/>
        <rFont val="Arial"/>
        <family val="0"/>
        <charset val="1"/>
      </rPr>
      <t xml:space="preserve">ADMIN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FAIL_COUNT </t>
    </r>
    <r>
      <rPr>
        <sz val="10"/>
        <rFont val="Noto Sans CJK SC"/>
        <family val="2"/>
      </rPr>
      <t xml:space="preserve">컬럼 없음 → 로그인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제한 불가 </t>
    </r>
    <r>
      <rPr>
        <sz val="10"/>
        <rFont val="Arial"/>
        <family val="0"/>
        <charset val="1"/>
      </rPr>
      <t xml:space="preserve">(A-06)</t>
    </r>
  </si>
  <si>
    <t xml:space="preserve">ISSUE-06</t>
  </si>
  <si>
    <r>
      <rPr>
        <sz val="10"/>
        <rFont val="Noto Sans CJK SC"/>
        <family val="2"/>
      </rPr>
      <t xml:space="preserve">로그인 후 기본 이동 경로 결정 필요 </t>
    </r>
    <r>
      <rPr>
        <sz val="10"/>
        <rFont val="Arial"/>
        <family val="0"/>
        <charset val="1"/>
      </rPr>
      <t xml:space="preserve">(A-01)</t>
    </r>
  </si>
  <si>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-01</t>
    </r>
  </si>
  <si>
    <r>
      <rPr>
        <sz val="10"/>
        <rFont val="Noto Sans CJK SC"/>
        <family val="2"/>
      </rPr>
      <t xml:space="preserve">기사 반려 사유 미입력 시 </t>
    </r>
    <r>
      <rPr>
        <sz val="10"/>
        <rFont val="Arial"/>
        <family val="0"/>
        <charset val="1"/>
      </rPr>
      <t xml:space="preserve">500. required </t>
    </r>
    <r>
      <rPr>
        <sz val="10"/>
        <rFont val="Noto Sans CJK SC"/>
        <family val="2"/>
      </rPr>
      <t xml:space="preserve">추가 </t>
    </r>
    <r>
      <rPr>
        <sz val="10"/>
        <rFont val="Arial"/>
        <family val="0"/>
        <charset val="1"/>
      </rPr>
      <t xml:space="preserve">+ catch </t>
    </r>
    <r>
      <rPr>
        <sz val="10"/>
        <rFont val="Noto Sans CJK SC"/>
        <family val="2"/>
      </rPr>
      <t xml:space="preserve">확장 </t>
    </r>
    <r>
      <rPr>
        <sz val="10"/>
        <rFont val="Arial"/>
        <family val="0"/>
        <charset val="1"/>
      </rPr>
      <t xml:space="preserve">(C-05)</t>
    </r>
  </si>
  <si>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-02</t>
    </r>
  </si>
  <si>
    <r>
      <rPr>
        <sz val="10"/>
        <rFont val="Noto Sans CJK SC"/>
        <family val="2"/>
      </rPr>
      <t xml:space="preserve">채팅 길이 상수 불일치</t>
    </r>
    <r>
      <rPr>
        <sz val="10"/>
        <rFont val="Arial"/>
        <family val="0"/>
        <charset val="1"/>
      </rPr>
      <t xml:space="preserve">. MAX_LENGTH 1000 → 988 (F-09)</t>
    </r>
  </si>
  <si>
    <r>
      <rPr>
        <sz val="10"/>
        <rFont val="Noto Sans CJK SC"/>
        <family val="2"/>
      </rPr>
      <t xml:space="preserve">접수 상세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상태 강제 변경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리뷰 삭제 </t>
    </r>
    <r>
      <rPr>
        <sz val="10"/>
        <rFont val="Arial"/>
        <family val="0"/>
        <charset val="1"/>
      </rPr>
      <t xml:space="preserve">(B-07 / D-05)</t>
    </r>
  </si>
  <si>
    <r>
      <rPr>
        <i val="true"/>
        <sz val="10"/>
        <color rgb="FF5B6577"/>
        <rFont val="Noto Sans CJK SC"/>
        <family val="2"/>
      </rPr>
      <t xml:space="preserve">채팅</t>
    </r>
    <r>
      <rPr>
        <i val="true"/>
        <sz val="10"/>
        <color rgb="FF5B6577"/>
        <rFont val="Arial"/>
        <family val="0"/>
        <charset val="1"/>
      </rPr>
      <t xml:space="preserve">(F) </t>
    </r>
    <r>
      <rPr>
        <i val="true"/>
        <sz val="10"/>
        <color rgb="FF5B6577"/>
        <rFont val="Noto Sans CJK SC"/>
        <family val="2"/>
      </rPr>
      <t xml:space="preserve">결과 칸은 비워뒀습니다</t>
    </r>
    <r>
      <rPr>
        <i val="true"/>
        <sz val="10"/>
        <color rgb="FF5B6577"/>
        <rFont val="Arial"/>
        <family val="0"/>
        <charset val="1"/>
      </rPr>
      <t xml:space="preserve">. </t>
    </r>
    <r>
      <rPr>
        <i val="true"/>
        <sz val="10"/>
        <color rgb="FF5B6577"/>
        <rFont val="Noto Sans CJK SC"/>
        <family val="2"/>
      </rPr>
      <t xml:space="preserve">직접 돌려보고 </t>
    </r>
    <r>
      <rPr>
        <i val="true"/>
        <sz val="10"/>
        <color rgb="FF5B6577"/>
        <rFont val="Arial"/>
        <family val="0"/>
        <charset val="1"/>
      </rPr>
      <t xml:space="preserve">P/F/B </t>
    </r>
    <r>
      <rPr>
        <i val="true"/>
        <sz val="10"/>
        <color rgb="FF5B6577"/>
        <rFont val="Noto Sans CJK SC"/>
        <family val="2"/>
      </rPr>
      <t xml:space="preserve">를 채우세요</t>
    </r>
    <r>
      <rPr>
        <i val="true"/>
        <sz val="10"/>
        <color rgb="FF5B6577"/>
        <rFont val="Arial"/>
        <family val="0"/>
        <charset val="1"/>
      </rPr>
      <t xml:space="preserve">.</t>
    </r>
  </si>
  <si>
    <r>
      <rPr>
        <i val="true"/>
        <sz val="10"/>
        <color rgb="FF5B6577"/>
        <rFont val="Arial"/>
        <family val="0"/>
        <charset val="1"/>
      </rPr>
      <t xml:space="preserve">"</t>
    </r>
    <r>
      <rPr>
        <i val="true"/>
        <sz val="10"/>
        <color rgb="FF5B6577"/>
        <rFont val="Noto Sans CJK SC"/>
        <family val="2"/>
      </rPr>
      <t xml:space="preserve">통합한 기존 </t>
    </r>
    <r>
      <rPr>
        <i val="true"/>
        <sz val="10"/>
        <color rgb="FF5B6577"/>
        <rFont val="Arial"/>
        <family val="0"/>
        <charset val="1"/>
      </rPr>
      <t xml:space="preserve">TC" </t>
    </r>
    <r>
      <rPr>
        <i val="true"/>
        <sz val="10"/>
        <color rgb="FF5B6577"/>
        <rFont val="Noto Sans CJK SC"/>
        <family val="2"/>
      </rPr>
      <t xml:space="preserve">칸은 이전 </t>
    </r>
    <r>
      <rPr>
        <i val="true"/>
        <sz val="10"/>
        <color rgb="FF5B6577"/>
        <rFont val="Arial"/>
        <family val="0"/>
        <charset val="1"/>
      </rPr>
      <t xml:space="preserve">95</t>
    </r>
    <r>
      <rPr>
        <i val="true"/>
        <sz val="10"/>
        <color rgb="FF5B6577"/>
        <rFont val="Noto Sans CJK SC"/>
        <family val="2"/>
      </rPr>
      <t xml:space="preserve">건 시트의 어느 항목을 흡수했는지 표시한 것입니다</t>
    </r>
    <r>
      <rPr>
        <i val="true"/>
        <sz val="10"/>
        <color rgb="FF5B6577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</si>
</sst>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9C5D06"/>
      <name val="Arial"/>
      <family val="0"/>
      <charset val="1"/>
    </font>
    <font>
      <sz val="9"/>
      <color rgb="FF6E7A8C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b val="true"/>
      <sz val="10"/>
      <color rgb="FFB23A2E"/>
      <name val="Arial"/>
      <family val="0"/>
      <charset val="1"/>
    </font>
    <font>
      <sz val="9"/>
      <color rgb="FF6E7A8C"/>
      <name val="Noto Sans CJK SC"/>
      <family val="2"/>
    </font>
    <font>
      <b val="true"/>
      <sz val="14"/>
      <name val="Noto Sans CJK SC"/>
      <family val="2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i val="true"/>
      <sz val="10"/>
      <color rgb="FF5B6577"/>
      <name val="Noto Sans CJK SC"/>
      <family val="2"/>
    </font>
    <font>
      <i val="true"/>
      <sz val="10"/>
      <color rgb="FF5B657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0F0F3"/>
      </patternFill>
    </fill>
    <fill>
      <patternFill patternType="solid">
        <fgColor rgb="FFFFF2CC"/>
        <bgColor rgb="FFFAF3EE"/>
      </patternFill>
    </fill>
    <fill>
      <patternFill patternType="solid">
        <fgColor rgb="FFE2EFDA"/>
        <bgColor rgb="FFF0F0F3"/>
      </patternFill>
    </fill>
    <fill>
      <patternFill patternType="solid">
        <fgColor rgb="FFFCE4E4"/>
        <bgColor rgb="FFF7EEF6"/>
      </patternFill>
    </fill>
    <fill>
      <patternFill patternType="solid">
        <fgColor rgb="FFF3F7EE"/>
        <bgColor rgb="FFFAF3EE"/>
      </patternFill>
    </fill>
    <fill>
      <patternFill patternType="solid">
        <fgColor rgb="FFFAF3EE"/>
        <bgColor rgb="FFF3F7EE"/>
      </patternFill>
    </fill>
    <fill>
      <patternFill patternType="solid">
        <fgColor rgb="FFF7EEF6"/>
        <bgColor rgb="FFF0F0F3"/>
      </patternFill>
    </fill>
    <fill>
      <patternFill patternType="solid">
        <fgColor rgb="FFF0F0F3"/>
        <bgColor rgb="FFEEF3FA"/>
      </patternFill>
    </fill>
    <fill>
      <patternFill patternType="solid">
        <fgColor rgb="FFE7EFFC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FFC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fgColor rgb="FFF0F0F3"/>
          <bgColor rgb="FF000000"/>
        </patternFill>
      </fill>
    </dxf>
    <dxf>
      <fill>
        <patternFill patternType="solid">
          <fgColor rgb="FFF3F7EE"/>
          <bgColor rgb="FF000000"/>
        </patternFill>
      </fill>
    </dxf>
    <dxf>
      <fill>
        <patternFill patternType="solid">
          <fgColor rgb="FFF7EEF6"/>
          <bgColor rgb="FF000000"/>
        </patternFill>
      </fill>
    </dxf>
    <dxf>
      <fill>
        <patternFill patternType="solid">
          <fgColor rgb="FFFAF3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ill>
        <patternFill patternType="solid">
          <fgColor rgb="FF9C5D06"/>
          <bgColor rgb="FF000000"/>
        </patternFill>
      </fill>
    </dxf>
    <dxf>
      <fill>
        <patternFill patternType="solid">
          <fgColor rgb="FFB23A2E"/>
          <bgColor rgb="FF000000"/>
        </patternFill>
      </fill>
    </dxf>
    <dxf>
      <fill>
        <patternFill patternType="solid">
          <fgColor rgb="FF6E7A8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9C5D06"/>
      <rgbColor rgb="FF800080"/>
      <rgbColor rgb="FF008080"/>
      <rgbColor rgb="FFF0F0F3"/>
      <rgbColor rgb="FF6E7A8C"/>
      <rgbColor rgb="FF9999FF"/>
      <rgbColor rgb="FF993366"/>
      <rgbColor rgb="FFFFF2CC"/>
      <rgbColor rgb="FFE7EF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E2EFDA"/>
      <rgbColor rgb="FFF3F7EE"/>
      <rgbColor rgb="FFF7EEF6"/>
      <rgbColor rgb="FFFAF3EE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1F3864"/>
      <rgbColor rgb="FF339966"/>
      <rgbColor rgb="FF003300"/>
      <rgbColor rgb="FF333300"/>
      <rgbColor rgb="FFB2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9.85" hidden="false" customHeight="false" outlineLevel="0" collapsed="false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5" t="s">
        <v>14</v>
      </c>
      <c r="H2" s="7" t="s">
        <v>15</v>
      </c>
    </row>
    <row r="3" customFormat="false" ht="29.85" hidden="false" customHeight="false" outlineLevel="0" collapsed="false">
      <c r="A3" s="3" t="s">
        <v>16</v>
      </c>
      <c r="B3" s="4" t="s">
        <v>9</v>
      </c>
      <c r="C3" s="4" t="s">
        <v>17</v>
      </c>
      <c r="D3" s="4" t="s">
        <v>18</v>
      </c>
      <c r="E3" s="4" t="s">
        <v>19</v>
      </c>
      <c r="F3" s="8" t="s">
        <v>20</v>
      </c>
      <c r="G3" s="4" t="s">
        <v>21</v>
      </c>
      <c r="H3" s="7" t="s">
        <v>22</v>
      </c>
    </row>
    <row r="4" customFormat="false" ht="29.85" hidden="false" customHeight="false" outlineLevel="0" collapsed="false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8" t="s">
        <v>20</v>
      </c>
      <c r="G4" s="5" t="s">
        <v>28</v>
      </c>
      <c r="H4" s="7" t="s">
        <v>29</v>
      </c>
    </row>
    <row r="5" customFormat="false" ht="23.85" hidden="false" customHeight="false" outlineLevel="0" collapsed="false">
      <c r="A5" s="3" t="s">
        <v>30</v>
      </c>
      <c r="B5" s="4" t="s">
        <v>31</v>
      </c>
      <c r="C5" s="5" t="s">
        <v>32</v>
      </c>
      <c r="D5" s="5" t="s">
        <v>33</v>
      </c>
      <c r="E5" s="4" t="s">
        <v>34</v>
      </c>
      <c r="F5" s="8" t="s">
        <v>20</v>
      </c>
      <c r="G5" s="5" t="s">
        <v>35</v>
      </c>
      <c r="H5" s="7" t="s">
        <v>36</v>
      </c>
    </row>
    <row r="6" customFormat="false" ht="15" hidden="false" customHeight="false" outlineLevel="0" collapsed="false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8" t="s">
        <v>20</v>
      </c>
      <c r="G6" s="5" t="s">
        <v>42</v>
      </c>
      <c r="H6" s="7" t="s">
        <v>43</v>
      </c>
    </row>
    <row r="7" customFormat="false" ht="15" hidden="false" customHeight="false" outlineLevel="0" collapsed="false">
      <c r="A7" s="3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9" t="s">
        <v>49</v>
      </c>
      <c r="G7" s="5" t="s">
        <v>50</v>
      </c>
      <c r="H7" s="7" t="s">
        <v>51</v>
      </c>
    </row>
    <row r="8" customFormat="false" ht="29.85" hidden="false" customHeight="false" outlineLevel="0" collapsed="false">
      <c r="A8" s="10" t="s">
        <v>52</v>
      </c>
      <c r="B8" s="4" t="s">
        <v>53</v>
      </c>
      <c r="C8" s="4" t="s">
        <v>54</v>
      </c>
      <c r="D8" s="5" t="s">
        <v>55</v>
      </c>
      <c r="E8" s="4" t="s">
        <v>56</v>
      </c>
      <c r="F8" s="8" t="s">
        <v>20</v>
      </c>
      <c r="G8" s="5" t="s">
        <v>57</v>
      </c>
      <c r="H8" s="7" t="s">
        <v>58</v>
      </c>
    </row>
    <row r="9" customFormat="false" ht="29.85" hidden="false" customHeight="false" outlineLevel="0" collapsed="false">
      <c r="A9" s="10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8" t="s">
        <v>20</v>
      </c>
      <c r="G9" s="4" t="s">
        <v>64</v>
      </c>
      <c r="H9" s="7" t="s">
        <v>65</v>
      </c>
    </row>
    <row r="10" customFormat="false" ht="15" hidden="false" customHeight="false" outlineLevel="0" collapsed="false">
      <c r="A10" s="10" t="s">
        <v>66</v>
      </c>
      <c r="B10" s="4" t="s">
        <v>67</v>
      </c>
      <c r="C10" s="4" t="s">
        <v>68</v>
      </c>
      <c r="D10" s="5" t="s">
        <v>69</v>
      </c>
      <c r="E10" s="4" t="s">
        <v>70</v>
      </c>
      <c r="F10" s="8" t="s">
        <v>20</v>
      </c>
      <c r="G10" s="5" t="s">
        <v>71</v>
      </c>
      <c r="H10" s="7" t="s">
        <v>72</v>
      </c>
    </row>
    <row r="11" customFormat="false" ht="15" hidden="false" customHeight="false" outlineLevel="0" collapsed="false">
      <c r="A11" s="10" t="s">
        <v>73</v>
      </c>
      <c r="B11" s="4" t="s">
        <v>60</v>
      </c>
      <c r="C11" s="4" t="s">
        <v>74</v>
      </c>
      <c r="D11" s="4" t="s">
        <v>75</v>
      </c>
      <c r="E11" s="5" t="s">
        <v>76</v>
      </c>
      <c r="F11" s="8" t="s">
        <v>20</v>
      </c>
      <c r="G11" s="4"/>
      <c r="H11" s="7" t="s">
        <v>77</v>
      </c>
    </row>
    <row r="12" customFormat="false" ht="15" hidden="false" customHeight="false" outlineLevel="0" collapsed="false">
      <c r="A12" s="10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8" t="s">
        <v>20</v>
      </c>
      <c r="G12" s="4" t="s">
        <v>83</v>
      </c>
      <c r="H12" s="7" t="s">
        <v>84</v>
      </c>
    </row>
    <row r="13" customFormat="false" ht="29.85" hidden="false" customHeight="false" outlineLevel="0" collapsed="false">
      <c r="A13" s="10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8" t="s">
        <v>20</v>
      </c>
      <c r="G13" s="5" t="s">
        <v>90</v>
      </c>
      <c r="H13" s="7" t="s">
        <v>91</v>
      </c>
    </row>
    <row r="14" customFormat="false" ht="26.85" hidden="false" customHeight="false" outlineLevel="0" collapsed="false">
      <c r="A14" s="10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9" t="s">
        <v>49</v>
      </c>
      <c r="G14" s="4" t="s">
        <v>97</v>
      </c>
      <c r="H14" s="7" t="s">
        <v>98</v>
      </c>
    </row>
    <row r="15" customFormat="false" ht="15" hidden="false" customHeight="false" outlineLevel="0" collapsed="false">
      <c r="A15" s="11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8" t="s">
        <v>20</v>
      </c>
      <c r="G15" s="4"/>
      <c r="H15" s="7" t="s">
        <v>104</v>
      </c>
    </row>
    <row r="16" customFormat="false" ht="15" hidden="false" customHeight="false" outlineLevel="0" collapsed="false">
      <c r="A16" s="11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8" t="s">
        <v>20</v>
      </c>
      <c r="G16" s="4"/>
      <c r="H16" s="7" t="s">
        <v>110</v>
      </c>
    </row>
    <row r="17" customFormat="false" ht="44" hidden="false" customHeight="false" outlineLevel="0" collapsed="false">
      <c r="A17" s="11" t="s">
        <v>111</v>
      </c>
      <c r="B17" s="4" t="s">
        <v>112</v>
      </c>
      <c r="C17" s="5" t="s">
        <v>113</v>
      </c>
      <c r="D17" s="4" t="s">
        <v>108</v>
      </c>
      <c r="E17" s="5" t="s">
        <v>114</v>
      </c>
      <c r="F17" s="8" t="s">
        <v>20</v>
      </c>
      <c r="G17" s="4"/>
      <c r="H17" s="7" t="s">
        <v>115</v>
      </c>
    </row>
    <row r="18" customFormat="false" ht="15" hidden="false" customHeight="false" outlineLevel="0" collapsed="false">
      <c r="A18" s="11" t="s">
        <v>116</v>
      </c>
      <c r="B18" s="4" t="s">
        <v>117</v>
      </c>
      <c r="C18" s="4" t="s">
        <v>118</v>
      </c>
      <c r="D18" s="4" t="s">
        <v>119</v>
      </c>
      <c r="E18" s="5" t="s">
        <v>120</v>
      </c>
      <c r="F18" s="8" t="s">
        <v>20</v>
      </c>
      <c r="G18" s="4"/>
      <c r="H18" s="7" t="s">
        <v>121</v>
      </c>
    </row>
    <row r="19" customFormat="false" ht="44" hidden="false" customHeight="false" outlineLevel="0" collapsed="false">
      <c r="A19" s="11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9" t="s">
        <v>49</v>
      </c>
      <c r="G19" s="5" t="s">
        <v>127</v>
      </c>
      <c r="H19" s="7" t="s">
        <v>128</v>
      </c>
    </row>
    <row r="20" customFormat="false" ht="29.85" hidden="false" customHeight="false" outlineLevel="0" collapsed="false">
      <c r="A20" s="11" t="s">
        <v>129</v>
      </c>
      <c r="B20" s="4" t="s">
        <v>130</v>
      </c>
      <c r="C20" s="4" t="s">
        <v>131</v>
      </c>
      <c r="D20" s="5" t="s">
        <v>132</v>
      </c>
      <c r="E20" s="4" t="s">
        <v>133</v>
      </c>
      <c r="F20" s="8" t="s">
        <v>20</v>
      </c>
      <c r="G20" s="4" t="s">
        <v>134</v>
      </c>
      <c r="H20" s="7" t="s">
        <v>135</v>
      </c>
    </row>
    <row r="21" customFormat="false" ht="29.85" hidden="false" customHeight="false" outlineLevel="0" collapsed="false">
      <c r="A21" s="11" t="s">
        <v>136</v>
      </c>
      <c r="B21" s="4" t="s">
        <v>137</v>
      </c>
      <c r="C21" s="4" t="s">
        <v>138</v>
      </c>
      <c r="D21" s="5" t="s">
        <v>139</v>
      </c>
      <c r="E21" s="4" t="s">
        <v>140</v>
      </c>
      <c r="F21" s="8" t="s">
        <v>20</v>
      </c>
      <c r="G21" s="4" t="s">
        <v>141</v>
      </c>
      <c r="H21" s="7" t="s">
        <v>142</v>
      </c>
    </row>
    <row r="22" customFormat="false" ht="29.85" hidden="false" customHeight="false" outlineLevel="0" collapsed="false">
      <c r="A22" s="11" t="s">
        <v>143</v>
      </c>
      <c r="B22" s="4" t="s">
        <v>144</v>
      </c>
      <c r="C22" s="4" t="s">
        <v>145</v>
      </c>
      <c r="D22" s="4" t="s">
        <v>146</v>
      </c>
      <c r="E22" s="5" t="s">
        <v>147</v>
      </c>
      <c r="F22" s="6" t="s">
        <v>13</v>
      </c>
      <c r="G22" s="4" t="s">
        <v>148</v>
      </c>
      <c r="H22" s="7" t="s">
        <v>149</v>
      </c>
    </row>
    <row r="23" customFormat="false" ht="29.85" hidden="false" customHeight="false" outlineLevel="0" collapsed="false">
      <c r="A23" s="12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8" t="s">
        <v>20</v>
      </c>
      <c r="G23" s="4"/>
      <c r="H23" s="7" t="s">
        <v>155</v>
      </c>
    </row>
    <row r="24" customFormat="false" ht="15" hidden="false" customHeight="false" outlineLevel="0" collapsed="false">
      <c r="A24" s="12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8" t="s">
        <v>20</v>
      </c>
      <c r="G24" s="5" t="s">
        <v>161</v>
      </c>
      <c r="H24" s="7" t="s">
        <v>162</v>
      </c>
    </row>
    <row r="25" customFormat="false" ht="15" hidden="false" customHeight="false" outlineLevel="0" collapsed="false">
      <c r="A25" s="12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8" t="s">
        <v>20</v>
      </c>
      <c r="G25" s="5" t="s">
        <v>168</v>
      </c>
      <c r="H25" s="7" t="s">
        <v>169</v>
      </c>
    </row>
    <row r="26" customFormat="false" ht="29.85" hidden="false" customHeight="false" outlineLevel="0" collapsed="false">
      <c r="A26" s="12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8" t="s">
        <v>20</v>
      </c>
      <c r="G26" s="4"/>
      <c r="H26" s="7" t="s">
        <v>175</v>
      </c>
    </row>
    <row r="27" customFormat="false" ht="15" hidden="false" customHeight="false" outlineLevel="0" collapsed="false">
      <c r="A27" s="12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9" t="s">
        <v>49</v>
      </c>
      <c r="G27" s="4" t="s">
        <v>181</v>
      </c>
      <c r="H27" s="7" t="s">
        <v>182</v>
      </c>
    </row>
    <row r="28" customFormat="false" ht="15" hidden="false" customHeight="false" outlineLevel="0" collapsed="false">
      <c r="A28" s="13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8" t="s">
        <v>20</v>
      </c>
      <c r="G28" s="4"/>
      <c r="H28" s="7" t="s">
        <v>188</v>
      </c>
    </row>
    <row r="29" customFormat="false" ht="26.85" hidden="false" customHeight="false" outlineLevel="0" collapsed="false">
      <c r="A29" s="13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8" t="s">
        <v>20</v>
      </c>
      <c r="G29" s="4" t="s">
        <v>194</v>
      </c>
      <c r="H29" s="7" t="s">
        <v>195</v>
      </c>
    </row>
    <row r="30" customFormat="false" ht="29.85" hidden="false" customHeight="false" outlineLevel="0" collapsed="false">
      <c r="A30" s="13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8" t="s">
        <v>20</v>
      </c>
      <c r="G30" s="5" t="s">
        <v>201</v>
      </c>
      <c r="H30" s="7" t="s">
        <v>202</v>
      </c>
    </row>
    <row r="31" customFormat="false" ht="29.85" hidden="false" customHeight="false" outlineLevel="0" collapsed="false">
      <c r="A31" s="13" t="s">
        <v>203</v>
      </c>
      <c r="B31" s="4" t="s">
        <v>204</v>
      </c>
      <c r="C31" s="4" t="s">
        <v>205</v>
      </c>
      <c r="D31" s="4" t="s">
        <v>206</v>
      </c>
      <c r="E31" s="5" t="s">
        <v>207</v>
      </c>
      <c r="F31" s="6" t="s">
        <v>13</v>
      </c>
      <c r="G31" s="4" t="s">
        <v>208</v>
      </c>
      <c r="H31" s="7" t="s">
        <v>209</v>
      </c>
    </row>
    <row r="32" customFormat="false" ht="29.85" hidden="false" customHeight="false" outlineLevel="0" collapsed="false">
      <c r="A32" s="13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8" t="s">
        <v>20</v>
      </c>
      <c r="G32" s="5" t="s">
        <v>215</v>
      </c>
      <c r="H32" s="7" t="s">
        <v>216</v>
      </c>
    </row>
    <row r="33" customFormat="false" ht="15" hidden="false" customHeight="false" outlineLevel="0" collapsed="false">
      <c r="A33" s="13" t="s">
        <v>217</v>
      </c>
      <c r="B33" s="4" t="s">
        <v>218</v>
      </c>
      <c r="C33" s="4" t="s">
        <v>219</v>
      </c>
      <c r="D33" s="4" t="s">
        <v>220</v>
      </c>
      <c r="E33" s="4" t="s">
        <v>221</v>
      </c>
      <c r="F33" s="6" t="s">
        <v>13</v>
      </c>
      <c r="G33" s="5" t="s">
        <v>222</v>
      </c>
      <c r="H33" s="7" t="s">
        <v>223</v>
      </c>
    </row>
    <row r="34" customFormat="false" ht="29.85" hidden="false" customHeight="false" outlineLevel="0" collapsed="false">
      <c r="A34" s="14" t="s">
        <v>224</v>
      </c>
      <c r="B34" s="4" t="s">
        <v>225</v>
      </c>
      <c r="C34" s="4" t="s">
        <v>226</v>
      </c>
      <c r="D34" s="5" t="s">
        <v>227</v>
      </c>
      <c r="E34" s="4" t="s">
        <v>228</v>
      </c>
      <c r="F34" s="15"/>
      <c r="G34" s="5" t="s">
        <v>229</v>
      </c>
      <c r="H34" s="16" t="s">
        <v>134</v>
      </c>
    </row>
    <row r="35" customFormat="false" ht="29.85" hidden="false" customHeight="false" outlineLevel="0" collapsed="false">
      <c r="A35" s="1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15"/>
      <c r="G35" s="5" t="s">
        <v>235</v>
      </c>
      <c r="H35" s="16" t="s">
        <v>134</v>
      </c>
    </row>
    <row r="36" customFormat="false" ht="29.85" hidden="false" customHeight="false" outlineLevel="0" collapsed="false">
      <c r="A36" s="1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15"/>
      <c r="G36" s="5" t="s">
        <v>241</v>
      </c>
      <c r="H36" s="16" t="s">
        <v>134</v>
      </c>
    </row>
    <row r="37" customFormat="false" ht="15" hidden="false" customHeight="false" outlineLevel="0" collapsed="false">
      <c r="A37" s="14" t="s">
        <v>242</v>
      </c>
      <c r="B37" s="4" t="s">
        <v>243</v>
      </c>
      <c r="C37" s="4" t="s">
        <v>244</v>
      </c>
      <c r="D37" s="4" t="s">
        <v>245</v>
      </c>
      <c r="E37" s="5" t="s">
        <v>246</v>
      </c>
      <c r="F37" s="15"/>
      <c r="G37" s="5" t="s">
        <v>247</v>
      </c>
      <c r="H37" s="16" t="s">
        <v>134</v>
      </c>
    </row>
    <row r="38" customFormat="false" ht="15" hidden="false" customHeight="false" outlineLevel="0" collapsed="false">
      <c r="A38" s="14" t="s">
        <v>248</v>
      </c>
      <c r="B38" s="4" t="s">
        <v>249</v>
      </c>
      <c r="C38" s="4" t="s">
        <v>250</v>
      </c>
      <c r="D38" s="5" t="s">
        <v>251</v>
      </c>
      <c r="E38" s="4" t="s">
        <v>252</v>
      </c>
      <c r="F38" s="15"/>
      <c r="G38" s="4" t="s">
        <v>253</v>
      </c>
      <c r="H38" s="16" t="s">
        <v>134</v>
      </c>
    </row>
    <row r="39" customFormat="false" ht="15" hidden="false" customHeight="false" outlineLevel="0" collapsed="false">
      <c r="A39" s="14" t="s">
        <v>254</v>
      </c>
      <c r="B39" s="4" t="s">
        <v>255</v>
      </c>
      <c r="C39" s="4" t="s">
        <v>256</v>
      </c>
      <c r="D39" s="5" t="s">
        <v>257</v>
      </c>
      <c r="E39" s="4" t="s">
        <v>258</v>
      </c>
      <c r="F39" s="15"/>
      <c r="G39" s="5" t="s">
        <v>259</v>
      </c>
      <c r="H39" s="16" t="s">
        <v>134</v>
      </c>
    </row>
    <row r="40" customFormat="false" ht="35.05" hidden="false" customHeight="false" outlineLevel="0" collapsed="false">
      <c r="A40" s="14" t="s">
        <v>260</v>
      </c>
      <c r="B40" s="4" t="s">
        <v>261</v>
      </c>
      <c r="C40" s="4" t="s">
        <v>262</v>
      </c>
      <c r="D40" s="5" t="s">
        <v>263</v>
      </c>
      <c r="E40" s="5" t="s">
        <v>264</v>
      </c>
      <c r="F40" s="15"/>
      <c r="G40" s="5" t="s">
        <v>265</v>
      </c>
      <c r="H40" s="16" t="s">
        <v>134</v>
      </c>
    </row>
    <row r="41" customFormat="false" ht="29.85" hidden="false" customHeight="false" outlineLevel="0" collapsed="false">
      <c r="A41" s="14" t="s">
        <v>266</v>
      </c>
      <c r="B41" s="4" t="s">
        <v>267</v>
      </c>
      <c r="C41" s="5" t="s">
        <v>268</v>
      </c>
      <c r="D41" s="5" t="s">
        <v>269</v>
      </c>
      <c r="E41" s="4" t="s">
        <v>270</v>
      </c>
      <c r="F41" s="15"/>
      <c r="G41" s="5" t="s">
        <v>271</v>
      </c>
      <c r="H41" s="16" t="s">
        <v>134</v>
      </c>
    </row>
    <row r="42" customFormat="false" ht="15" hidden="false" customHeight="false" outlineLevel="0" collapsed="false">
      <c r="A42" s="14" t="s">
        <v>272</v>
      </c>
      <c r="B42" s="4" t="s">
        <v>273</v>
      </c>
      <c r="C42" s="4" t="s">
        <v>274</v>
      </c>
      <c r="D42" s="4" t="s">
        <v>275</v>
      </c>
      <c r="E42" s="5" t="s">
        <v>276</v>
      </c>
      <c r="F42" s="15"/>
      <c r="G42" s="4" t="s">
        <v>277</v>
      </c>
      <c r="H42" s="16" t="s">
        <v>134</v>
      </c>
    </row>
    <row r="43" customFormat="false" ht="15" hidden="false" customHeight="false" outlineLevel="0" collapsed="false">
      <c r="A43" s="1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15"/>
      <c r="G43" s="5" t="s">
        <v>283</v>
      </c>
      <c r="H43" s="16" t="s">
        <v>134</v>
      </c>
    </row>
    <row r="44" customFormat="false" ht="29.85" hidden="false" customHeight="false" outlineLevel="0" collapsed="false">
      <c r="A44" s="14" t="s">
        <v>284</v>
      </c>
      <c r="B44" s="5" t="s">
        <v>285</v>
      </c>
      <c r="C44" s="5" t="s">
        <v>286</v>
      </c>
      <c r="D44" s="4" t="s">
        <v>287</v>
      </c>
      <c r="E44" s="4" t="s">
        <v>288</v>
      </c>
      <c r="F44" s="15"/>
      <c r="G44" s="5" t="s">
        <v>289</v>
      </c>
      <c r="H44" s="16" t="s">
        <v>134</v>
      </c>
    </row>
    <row r="45" customFormat="false" ht="29.85" hidden="false" customHeight="false" outlineLevel="0" collapsed="false">
      <c r="A45" s="14" t="s">
        <v>290</v>
      </c>
      <c r="B45" s="4" t="s">
        <v>291</v>
      </c>
      <c r="C45" s="5" t="s">
        <v>292</v>
      </c>
      <c r="D45" s="4" t="s">
        <v>293</v>
      </c>
      <c r="E45" s="4" t="s">
        <v>294</v>
      </c>
      <c r="F45" s="15"/>
      <c r="G45" s="5" t="s">
        <v>295</v>
      </c>
      <c r="H45" s="16" t="s">
        <v>134</v>
      </c>
    </row>
    <row r="46" customFormat="false" ht="29.85" hidden="false" customHeight="false" outlineLevel="0" collapsed="false">
      <c r="A46" s="14" t="s">
        <v>296</v>
      </c>
      <c r="B46" s="4" t="s">
        <v>297</v>
      </c>
      <c r="C46" s="5" t="s">
        <v>298</v>
      </c>
      <c r="D46" s="5" t="s">
        <v>299</v>
      </c>
      <c r="E46" s="4" t="s">
        <v>300</v>
      </c>
      <c r="F46" s="15"/>
      <c r="G46" s="4" t="s">
        <v>301</v>
      </c>
      <c r="H46" s="16" t="s">
        <v>134</v>
      </c>
    </row>
    <row r="47" customFormat="false" ht="15" hidden="false" customHeight="false" outlineLevel="0" collapsed="false">
      <c r="A47" s="14" t="s">
        <v>302</v>
      </c>
      <c r="B47" s="4" t="s">
        <v>303</v>
      </c>
      <c r="C47" s="4" t="s">
        <v>304</v>
      </c>
      <c r="D47" s="5" t="s">
        <v>305</v>
      </c>
      <c r="E47" s="5" t="s">
        <v>306</v>
      </c>
      <c r="F47" s="15"/>
      <c r="G47" s="4" t="s">
        <v>307</v>
      </c>
      <c r="H47" s="16" t="s">
        <v>134</v>
      </c>
    </row>
    <row r="48" customFormat="false" ht="29.85" hidden="false" customHeight="false" outlineLevel="0" collapsed="false">
      <c r="A48" s="14" t="s">
        <v>308</v>
      </c>
      <c r="B48" s="4" t="s">
        <v>309</v>
      </c>
      <c r="C48" s="4" t="s">
        <v>310</v>
      </c>
      <c r="D48" s="4" t="s">
        <v>311</v>
      </c>
      <c r="E48" s="4" t="s">
        <v>312</v>
      </c>
      <c r="F48" s="15"/>
      <c r="G48" s="5" t="s">
        <v>313</v>
      </c>
      <c r="H48" s="16" t="s">
        <v>134</v>
      </c>
    </row>
  </sheetData>
  <autoFilter ref="A1:H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7" t="s">
        <v>314</v>
      </c>
    </row>
    <row r="3" customFormat="false" ht="15" hidden="false" customHeight="false" outlineLevel="0" collapsed="false">
      <c r="A3" s="18" t="s">
        <v>315</v>
      </c>
      <c r="B3" s="18" t="s">
        <v>316</v>
      </c>
    </row>
    <row r="4" customFormat="false" ht="15" hidden="false" customHeight="false" outlineLevel="0" collapsed="false">
      <c r="A4" s="19" t="s">
        <v>317</v>
      </c>
      <c r="B4" s="20" t="n">
        <f aca="false">COUNTA('TC 전체'!A2:A48)</f>
        <v>47</v>
      </c>
    </row>
    <row r="5" customFormat="false" ht="15" hidden="false" customHeight="false" outlineLevel="0" collapsed="false">
      <c r="A5" s="21" t="s">
        <v>20</v>
      </c>
      <c r="B5" s="20" t="n">
        <f aca="false">COUNTIF('TC 전체'!F2:F48,"Pass")</f>
        <v>24</v>
      </c>
    </row>
    <row r="6" customFormat="false" ht="15" hidden="false" customHeight="false" outlineLevel="0" collapsed="false">
      <c r="A6" s="21" t="s">
        <v>49</v>
      </c>
      <c r="B6" s="20" t="n">
        <f aca="false">COUNTIF('TC 전체'!F2:F48,"Fail")</f>
        <v>4</v>
      </c>
    </row>
    <row r="7" customFormat="false" ht="15" hidden="false" customHeight="false" outlineLevel="0" collapsed="false">
      <c r="A7" s="21" t="s">
        <v>13</v>
      </c>
      <c r="B7" s="20" t="n">
        <f aca="false">COUNTIF('TC 전체'!F2:F48,"Block")</f>
        <v>4</v>
      </c>
    </row>
    <row r="8" customFormat="false" ht="15" hidden="false" customHeight="false" outlineLevel="0" collapsed="false">
      <c r="A8" s="19" t="s">
        <v>318</v>
      </c>
      <c r="B8" s="20" t="n">
        <f aca="false">COUNTIF('TC 전체'!F2:F48,"")</f>
        <v>15</v>
      </c>
    </row>
    <row r="10" customFormat="false" ht="15" hidden="false" customHeight="false" outlineLevel="0" collapsed="false">
      <c r="A10" s="22" t="s">
        <v>319</v>
      </c>
    </row>
    <row r="11" customFormat="false" ht="15" hidden="false" customHeight="false" outlineLevel="0" collapsed="false">
      <c r="A11" s="23" t="s">
        <v>320</v>
      </c>
      <c r="B11" s="24" t="s">
        <v>321</v>
      </c>
    </row>
    <row r="12" customFormat="false" ht="15" hidden="false" customHeight="false" outlineLevel="0" collapsed="false">
      <c r="A12" s="23" t="s">
        <v>322</v>
      </c>
      <c r="B12" s="24" t="s">
        <v>323</v>
      </c>
    </row>
    <row r="13" customFormat="false" ht="15" hidden="false" customHeight="false" outlineLevel="0" collapsed="false">
      <c r="A13" s="23" t="s">
        <v>324</v>
      </c>
      <c r="B13" s="25" t="s">
        <v>325</v>
      </c>
    </row>
    <row r="14" customFormat="false" ht="15" hidden="false" customHeight="false" outlineLevel="0" collapsed="false">
      <c r="A14" s="26" t="s">
        <v>326</v>
      </c>
      <c r="B14" s="25" t="s">
        <v>327</v>
      </c>
    </row>
    <row r="15" customFormat="false" ht="15" hidden="false" customHeight="false" outlineLevel="0" collapsed="false">
      <c r="A15" s="26" t="s">
        <v>328</v>
      </c>
      <c r="B15" s="25" t="s">
        <v>329</v>
      </c>
    </row>
    <row r="16" customFormat="false" ht="15" hidden="false" customHeight="false" outlineLevel="0" collapsed="false">
      <c r="A16" s="26" t="s">
        <v>181</v>
      </c>
      <c r="B16" s="25" t="s">
        <v>330</v>
      </c>
    </row>
    <row r="18" customFormat="false" ht="15" hidden="false" customHeight="false" outlineLevel="0" collapsed="false">
      <c r="A18" s="27" t="s">
        <v>331</v>
      </c>
    </row>
    <row r="19" customFormat="false" ht="15" hidden="false" customHeight="false" outlineLevel="0" collapsed="false">
      <c r="A19" s="28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2026-09-01T05:23:50Z</dcterms:created>
  <dc:creator>openpyxl</dc:creator>
  <dc:description/>
  <dc:language>en-US</dc:language>
  <cp:lastModifiedBy/>
  <dcterms:modified xsi:type="dcterms:W3CDTF">2026-09-01T05:23:50Z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